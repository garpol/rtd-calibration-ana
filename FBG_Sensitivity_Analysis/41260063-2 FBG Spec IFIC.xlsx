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DieseArbeitsmappe"/>
  <mc:AlternateContent xmlns:mc="http://schemas.openxmlformats.org/markup-compatibility/2006">
    <mc:Choice Requires="x15">
      <x15ac:absPath xmlns:x15ac="http://schemas.microsoft.com/office/spreadsheetml/2010/11/ac" url="F:\Angebote\2026\"/>
    </mc:Choice>
  </mc:AlternateContent>
  <xr:revisionPtr revIDLastSave="0" documentId="13_ncr:1_{4AAE6992-0149-4D59-BF4D-2F7006B29707}" xr6:coauthVersionLast="47" xr6:coauthVersionMax="47" xr10:uidLastSave="{00000000-0000-0000-0000-000000000000}"/>
  <workbookProtection workbookAlgorithmName="SHA-512" workbookHashValue="Z2Y1Cn6CVbZJK6FjG9AWvRZYhB0DrPsWfsYCZDFeLFlSHVZzvOev4CB3aawR479xO8PXZaBYenI4LEulVy5BCg==" workbookSaltValue="sDUMXwwLNGGGqiA/6WbMvw==" workbookSpinCount="100000" lockStructure="1"/>
  <bookViews>
    <workbookView xWindow="-120" yWindow="-120" windowWidth="29040" windowHeight="17520" xr2:uid="{00000000-000D-0000-FFFF-FFFF00000000}"/>
  </bookViews>
  <sheets>
    <sheet name="Fiber Specification" sheetId="1" r:id="rId1"/>
    <sheet name="Definition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1" i="1" l="1"/>
  <c r="B61" i="1"/>
  <c r="C61" i="1"/>
  <c r="D61" i="1" s="1"/>
  <c r="A62" i="1"/>
  <c r="B62" i="1"/>
  <c r="C62" i="1"/>
  <c r="E62" i="1" s="1"/>
  <c r="A63" i="1"/>
  <c r="B63" i="1"/>
  <c r="C63" i="1"/>
  <c r="D63" i="1" s="1"/>
  <c r="A64" i="1"/>
  <c r="B64" i="1"/>
  <c r="C64" i="1"/>
  <c r="E64" i="1" s="1"/>
  <c r="A65" i="1"/>
  <c r="B65" i="1"/>
  <c r="C65" i="1"/>
  <c r="E65" i="1" s="1"/>
  <c r="A66" i="1"/>
  <c r="B66" i="1"/>
  <c r="C66" i="1"/>
  <c r="D66" i="1" s="1"/>
  <c r="A67" i="1"/>
  <c r="B67" i="1"/>
  <c r="C67" i="1"/>
  <c r="D67" i="1" s="1"/>
  <c r="A68" i="1"/>
  <c r="B68" i="1"/>
  <c r="C68" i="1"/>
  <c r="E68" i="1" s="1"/>
  <c r="A69" i="1"/>
  <c r="B69" i="1"/>
  <c r="C69" i="1"/>
  <c r="D69" i="1" s="1"/>
  <c r="A70" i="1"/>
  <c r="B70" i="1"/>
  <c r="C70" i="1"/>
  <c r="D70" i="1" s="1"/>
  <c r="A71" i="1"/>
  <c r="B71" i="1"/>
  <c r="C71" i="1"/>
  <c r="D71" i="1" s="1"/>
  <c r="A72" i="1"/>
  <c r="B72" i="1"/>
  <c r="C72" i="1"/>
  <c r="D72" i="1" s="1"/>
  <c r="A73" i="1"/>
  <c r="B73" i="1"/>
  <c r="C73" i="1"/>
  <c r="E73" i="1" s="1"/>
  <c r="A74" i="1"/>
  <c r="B74" i="1"/>
  <c r="C74" i="1"/>
  <c r="D74" i="1" s="1"/>
  <c r="A75" i="1"/>
  <c r="B75" i="1"/>
  <c r="C75" i="1"/>
  <c r="E75" i="1" s="1"/>
  <c r="A76" i="1"/>
  <c r="B76" i="1"/>
  <c r="C76" i="1"/>
  <c r="E76" i="1" s="1"/>
  <c r="A77" i="1"/>
  <c r="B77" i="1"/>
  <c r="C77" i="1"/>
  <c r="D77" i="1" s="1"/>
  <c r="A78" i="1"/>
  <c r="B78" i="1"/>
  <c r="C78" i="1"/>
  <c r="D78" i="1" s="1"/>
  <c r="A79" i="1"/>
  <c r="B79" i="1"/>
  <c r="C79" i="1"/>
  <c r="D79" i="1" s="1"/>
  <c r="A80" i="1"/>
  <c r="B80" i="1"/>
  <c r="C80" i="1"/>
  <c r="D80" i="1" s="1"/>
  <c r="A81" i="1"/>
  <c r="B81" i="1"/>
  <c r="C81" i="1"/>
  <c r="E81" i="1" s="1"/>
  <c r="A82" i="1"/>
  <c r="B82" i="1"/>
  <c r="C82" i="1"/>
  <c r="D82" i="1" s="1"/>
  <c r="A83" i="1"/>
  <c r="B83" i="1"/>
  <c r="C83" i="1"/>
  <c r="E83" i="1" s="1"/>
  <c r="A84" i="1"/>
  <c r="B84" i="1"/>
  <c r="C84" i="1"/>
  <c r="E84" i="1" s="1"/>
  <c r="A85" i="1"/>
  <c r="B85" i="1"/>
  <c r="C85" i="1"/>
  <c r="D85" i="1" s="1"/>
  <c r="A86" i="1"/>
  <c r="B86" i="1"/>
  <c r="C86" i="1"/>
  <c r="D86" i="1" s="1"/>
  <c r="A87" i="1"/>
  <c r="B87" i="1"/>
  <c r="C87" i="1"/>
  <c r="D87" i="1" s="1"/>
  <c r="A88" i="1"/>
  <c r="B88" i="1"/>
  <c r="C88" i="1"/>
  <c r="D88" i="1" s="1"/>
  <c r="A89" i="1"/>
  <c r="B89" i="1"/>
  <c r="C89" i="1"/>
  <c r="E89" i="1" s="1"/>
  <c r="A90" i="1"/>
  <c r="B90" i="1"/>
  <c r="C90" i="1"/>
  <c r="D90" i="1" s="1"/>
  <c r="A91" i="1"/>
  <c r="B91" i="1"/>
  <c r="C91" i="1"/>
  <c r="E91" i="1" s="1"/>
  <c r="A92" i="1"/>
  <c r="B92" i="1"/>
  <c r="C92" i="1"/>
  <c r="E92" i="1" s="1"/>
  <c r="A93" i="1"/>
  <c r="B93" i="1"/>
  <c r="C93" i="1"/>
  <c r="D93" i="1" s="1"/>
  <c r="A94" i="1"/>
  <c r="B94" i="1"/>
  <c r="C94" i="1"/>
  <c r="D94" i="1" s="1"/>
  <c r="A95" i="1"/>
  <c r="B95" i="1"/>
  <c r="C95" i="1"/>
  <c r="D95" i="1" s="1"/>
  <c r="A96" i="1"/>
  <c r="B96" i="1"/>
  <c r="C96" i="1"/>
  <c r="D96" i="1" s="1"/>
  <c r="A97" i="1"/>
  <c r="B97" i="1"/>
  <c r="C97" i="1"/>
  <c r="E97" i="1" s="1"/>
  <c r="A98" i="1"/>
  <c r="B98" i="1"/>
  <c r="C98" i="1"/>
  <c r="D98" i="1" s="1"/>
  <c r="A99" i="1"/>
  <c r="B99" i="1"/>
  <c r="C99" i="1"/>
  <c r="E99" i="1" s="1"/>
  <c r="A100" i="1"/>
  <c r="B100" i="1"/>
  <c r="C100" i="1"/>
  <c r="E100" i="1" s="1"/>
  <c r="A101" i="1"/>
  <c r="B101" i="1"/>
  <c r="C101" i="1"/>
  <c r="D101" i="1" s="1"/>
  <c r="A102" i="1"/>
  <c r="B102" i="1"/>
  <c r="C102" i="1"/>
  <c r="D102" i="1" s="1"/>
  <c r="A103" i="1"/>
  <c r="B103" i="1"/>
  <c r="C103" i="1"/>
  <c r="D103" i="1" s="1"/>
  <c r="A104" i="1"/>
  <c r="B104" i="1"/>
  <c r="C104" i="1"/>
  <c r="D104" i="1" s="1"/>
  <c r="A105" i="1"/>
  <c r="B105" i="1"/>
  <c r="C105" i="1"/>
  <c r="E105" i="1" s="1"/>
  <c r="A106" i="1"/>
  <c r="B106" i="1"/>
  <c r="C106" i="1"/>
  <c r="D106" i="1" s="1"/>
  <c r="A107" i="1"/>
  <c r="B107" i="1"/>
  <c r="C107" i="1"/>
  <c r="E107" i="1" s="1"/>
  <c r="A108" i="1"/>
  <c r="B108" i="1"/>
  <c r="C108" i="1"/>
  <c r="E108" i="1" s="1"/>
  <c r="A109" i="1"/>
  <c r="B109" i="1"/>
  <c r="C109" i="1"/>
  <c r="D109" i="1" s="1"/>
  <c r="A110" i="1"/>
  <c r="B110" i="1"/>
  <c r="C110" i="1"/>
  <c r="D110" i="1" s="1"/>
  <c r="A111" i="1"/>
  <c r="B111" i="1"/>
  <c r="C111" i="1"/>
  <c r="D111" i="1" s="1"/>
  <c r="A112" i="1"/>
  <c r="B112" i="1"/>
  <c r="C112" i="1"/>
  <c r="D112" i="1" s="1"/>
  <c r="A113" i="1"/>
  <c r="B113" i="1"/>
  <c r="C113" i="1"/>
  <c r="E113" i="1" s="1"/>
  <c r="A114" i="1"/>
  <c r="B114" i="1"/>
  <c r="C114" i="1"/>
  <c r="D114" i="1" s="1"/>
  <c r="A115" i="1"/>
  <c r="B115" i="1"/>
  <c r="C115" i="1"/>
  <c r="E115" i="1" s="1"/>
  <c r="A116" i="1"/>
  <c r="B116" i="1"/>
  <c r="C116" i="1"/>
  <c r="E116" i="1" s="1"/>
  <c r="A117" i="1"/>
  <c r="B117" i="1"/>
  <c r="C117" i="1"/>
  <c r="D117" i="1" s="1"/>
  <c r="A118" i="1"/>
  <c r="B118" i="1"/>
  <c r="C118" i="1"/>
  <c r="D118" i="1" s="1"/>
  <c r="A119" i="1"/>
  <c r="B119" i="1"/>
  <c r="C119" i="1"/>
  <c r="D119" i="1" s="1"/>
  <c r="A120" i="1"/>
  <c r="B120" i="1"/>
  <c r="C120" i="1"/>
  <c r="D120" i="1" s="1"/>
  <c r="A121" i="1"/>
  <c r="B121" i="1"/>
  <c r="C121" i="1"/>
  <c r="E121" i="1" s="1"/>
  <c r="A122" i="1"/>
  <c r="B122" i="1"/>
  <c r="C122" i="1"/>
  <c r="D122" i="1" s="1"/>
  <c r="A123" i="1"/>
  <c r="B123" i="1"/>
  <c r="C123" i="1"/>
  <c r="E123" i="1" s="1"/>
  <c r="A124" i="1"/>
  <c r="B124" i="1"/>
  <c r="C124" i="1"/>
  <c r="E124" i="1" s="1"/>
  <c r="A125" i="1"/>
  <c r="B125" i="1"/>
  <c r="C125" i="1"/>
  <c r="D125" i="1" s="1"/>
  <c r="A126" i="1"/>
  <c r="B126" i="1"/>
  <c r="C126" i="1"/>
  <c r="D126" i="1" s="1"/>
  <c r="A127" i="1"/>
  <c r="B127" i="1"/>
  <c r="C127" i="1"/>
  <c r="D127" i="1" s="1"/>
  <c r="A128" i="1"/>
  <c r="B128" i="1"/>
  <c r="C128" i="1"/>
  <c r="D128" i="1" s="1"/>
  <c r="A129" i="1"/>
  <c r="B129" i="1"/>
  <c r="C129" i="1"/>
  <c r="E129" i="1" s="1"/>
  <c r="A130" i="1"/>
  <c r="B130" i="1"/>
  <c r="C130" i="1"/>
  <c r="D130" i="1" s="1"/>
  <c r="A131" i="1"/>
  <c r="B131" i="1"/>
  <c r="C131" i="1"/>
  <c r="E131" i="1" s="1"/>
  <c r="A132" i="1"/>
  <c r="B132" i="1"/>
  <c r="C132" i="1"/>
  <c r="E132" i="1" s="1"/>
  <c r="A133" i="1"/>
  <c r="B133" i="1"/>
  <c r="C133" i="1"/>
  <c r="D133" i="1" s="1"/>
  <c r="A134" i="1"/>
  <c r="B134" i="1"/>
  <c r="C134" i="1"/>
  <c r="D134" i="1" s="1"/>
  <c r="A135" i="1"/>
  <c r="B135" i="1"/>
  <c r="C135" i="1"/>
  <c r="D135" i="1" s="1"/>
  <c r="A136" i="1"/>
  <c r="B136" i="1"/>
  <c r="C136" i="1"/>
  <c r="D136" i="1" s="1"/>
  <c r="A137" i="1"/>
  <c r="B137" i="1"/>
  <c r="C137" i="1"/>
  <c r="E137" i="1" s="1"/>
  <c r="A138" i="1"/>
  <c r="B138" i="1"/>
  <c r="C138" i="1"/>
  <c r="D138" i="1" s="1"/>
  <c r="A139" i="1"/>
  <c r="B139" i="1"/>
  <c r="C139" i="1"/>
  <c r="E139" i="1" s="1"/>
  <c r="A140" i="1"/>
  <c r="B140" i="1"/>
  <c r="C140" i="1"/>
  <c r="E140" i="1" s="1"/>
  <c r="A141" i="1"/>
  <c r="B141" i="1"/>
  <c r="C141" i="1"/>
  <c r="D141" i="1" s="1"/>
  <c r="A142" i="1"/>
  <c r="B142" i="1"/>
  <c r="C142" i="1"/>
  <c r="D142" i="1" s="1"/>
  <c r="A143" i="1"/>
  <c r="B143" i="1"/>
  <c r="C143" i="1"/>
  <c r="D143" i="1" s="1"/>
  <c r="A144" i="1"/>
  <c r="B144" i="1"/>
  <c r="C144" i="1"/>
  <c r="D144" i="1" s="1"/>
  <c r="A145" i="1"/>
  <c r="B145" i="1"/>
  <c r="C145" i="1"/>
  <c r="E145" i="1" s="1"/>
  <c r="A146" i="1"/>
  <c r="B146" i="1"/>
  <c r="C146" i="1"/>
  <c r="D146" i="1" s="1"/>
  <c r="A147" i="1"/>
  <c r="B147" i="1"/>
  <c r="C147" i="1"/>
  <c r="E147" i="1" s="1"/>
  <c r="A148" i="1"/>
  <c r="B148" i="1"/>
  <c r="C148" i="1"/>
  <c r="E148" i="1" s="1"/>
  <c r="A149" i="1"/>
  <c r="B149" i="1"/>
  <c r="C149" i="1"/>
  <c r="D149" i="1" s="1"/>
  <c r="A150" i="1"/>
  <c r="B150" i="1"/>
  <c r="C150" i="1"/>
  <c r="D150" i="1" s="1"/>
  <c r="A151" i="1"/>
  <c r="B151" i="1"/>
  <c r="C151" i="1"/>
  <c r="D151" i="1" s="1"/>
  <c r="A152" i="1"/>
  <c r="B152" i="1"/>
  <c r="C152" i="1"/>
  <c r="D152" i="1" s="1"/>
  <c r="A153" i="1"/>
  <c r="B153" i="1"/>
  <c r="C153" i="1"/>
  <c r="E153" i="1" s="1"/>
  <c r="A154" i="1"/>
  <c r="B154" i="1"/>
  <c r="C154" i="1"/>
  <c r="D154" i="1" s="1"/>
  <c r="A155" i="1"/>
  <c r="B155" i="1"/>
  <c r="C155" i="1"/>
  <c r="E155" i="1" s="1"/>
  <c r="A156" i="1"/>
  <c r="B156" i="1"/>
  <c r="C156" i="1"/>
  <c r="E156" i="1" s="1"/>
  <c r="A157" i="1"/>
  <c r="B157" i="1"/>
  <c r="C157" i="1"/>
  <c r="D157" i="1" s="1"/>
  <c r="A158" i="1"/>
  <c r="B158" i="1"/>
  <c r="C158" i="1"/>
  <c r="D158" i="1" s="1"/>
  <c r="A159" i="1"/>
  <c r="B159" i="1"/>
  <c r="C159" i="1"/>
  <c r="D159" i="1" s="1"/>
  <c r="A160" i="1"/>
  <c r="B160" i="1"/>
  <c r="C160" i="1"/>
  <c r="D160" i="1" s="1"/>
  <c r="A161" i="1"/>
  <c r="B161" i="1"/>
  <c r="C161" i="1"/>
  <c r="E161" i="1" s="1"/>
  <c r="A162" i="1"/>
  <c r="B162" i="1"/>
  <c r="C162" i="1"/>
  <c r="D162" i="1" s="1"/>
  <c r="A163" i="1"/>
  <c r="B163" i="1"/>
  <c r="C163" i="1"/>
  <c r="E163" i="1" s="1"/>
  <c r="A164" i="1"/>
  <c r="B164" i="1"/>
  <c r="C164" i="1"/>
  <c r="E164" i="1" s="1"/>
  <c r="A165" i="1"/>
  <c r="B165" i="1"/>
  <c r="C165" i="1"/>
  <c r="D165" i="1" s="1"/>
  <c r="A166" i="1"/>
  <c r="B166" i="1"/>
  <c r="C166" i="1"/>
  <c r="D166" i="1" s="1"/>
  <c r="A167" i="1"/>
  <c r="B167" i="1"/>
  <c r="C167" i="1"/>
  <c r="D167" i="1" s="1"/>
  <c r="A168" i="1"/>
  <c r="B168" i="1"/>
  <c r="C168" i="1"/>
  <c r="D168" i="1" s="1"/>
  <c r="A169" i="1"/>
  <c r="B169" i="1"/>
  <c r="C169" i="1"/>
  <c r="E169" i="1" s="1"/>
  <c r="A170" i="1"/>
  <c r="B170" i="1"/>
  <c r="C170" i="1"/>
  <c r="D170" i="1" s="1"/>
  <c r="A171" i="1"/>
  <c r="B171" i="1"/>
  <c r="C171" i="1"/>
  <c r="E171" i="1" s="1"/>
  <c r="A172" i="1"/>
  <c r="B172" i="1"/>
  <c r="C172" i="1"/>
  <c r="E172" i="1" s="1"/>
  <c r="A173" i="1"/>
  <c r="B173" i="1"/>
  <c r="C173" i="1"/>
  <c r="D173" i="1" s="1"/>
  <c r="A174" i="1"/>
  <c r="B174" i="1"/>
  <c r="C174" i="1"/>
  <c r="D174" i="1" s="1"/>
  <c r="A175" i="1"/>
  <c r="B175" i="1"/>
  <c r="C175" i="1"/>
  <c r="D175" i="1" s="1"/>
  <c r="A176" i="1"/>
  <c r="B176" i="1"/>
  <c r="C176" i="1"/>
  <c r="D176" i="1" s="1"/>
  <c r="A177" i="1"/>
  <c r="B177" i="1"/>
  <c r="C177" i="1"/>
  <c r="E177" i="1" s="1"/>
  <c r="A178" i="1"/>
  <c r="B178" i="1"/>
  <c r="C178" i="1"/>
  <c r="D178" i="1" s="1"/>
  <c r="A179" i="1"/>
  <c r="B179" i="1"/>
  <c r="C179" i="1"/>
  <c r="D179" i="1" s="1"/>
  <c r="A180" i="1"/>
  <c r="B180" i="1"/>
  <c r="C180" i="1"/>
  <c r="E180" i="1" s="1"/>
  <c r="A181" i="1"/>
  <c r="B181" i="1"/>
  <c r="C181" i="1"/>
  <c r="E181" i="1" s="1"/>
  <c r="A182" i="1"/>
  <c r="B182" i="1"/>
  <c r="C182" i="1"/>
  <c r="D182" i="1" s="1"/>
  <c r="A183" i="1"/>
  <c r="B183" i="1"/>
  <c r="C183" i="1"/>
  <c r="D183" i="1" s="1"/>
  <c r="A184" i="1"/>
  <c r="B184" i="1"/>
  <c r="C184" i="1"/>
  <c r="D184" i="1" s="1"/>
  <c r="A185" i="1"/>
  <c r="B185" i="1"/>
  <c r="C185" i="1"/>
  <c r="E185" i="1" s="1"/>
  <c r="A186" i="1"/>
  <c r="B186" i="1"/>
  <c r="C186" i="1"/>
  <c r="E186" i="1" s="1"/>
  <c r="A187" i="1"/>
  <c r="B187" i="1"/>
  <c r="C187" i="1"/>
  <c r="D187" i="1" s="1"/>
  <c r="A188" i="1"/>
  <c r="B188" i="1"/>
  <c r="C188" i="1"/>
  <c r="E188" i="1" s="1"/>
  <c r="A189" i="1"/>
  <c r="B189" i="1"/>
  <c r="C189" i="1"/>
  <c r="E189" i="1" s="1"/>
  <c r="A190" i="1"/>
  <c r="B190" i="1"/>
  <c r="C190" i="1"/>
  <c r="D190" i="1" s="1"/>
  <c r="A191" i="1"/>
  <c r="B191" i="1"/>
  <c r="C191" i="1"/>
  <c r="D191" i="1" s="1"/>
  <c r="A192" i="1"/>
  <c r="B192" i="1"/>
  <c r="C192" i="1"/>
  <c r="D192" i="1" s="1"/>
  <c r="A193" i="1"/>
  <c r="B193" i="1"/>
  <c r="C193" i="1"/>
  <c r="E193" i="1" s="1"/>
  <c r="A194" i="1"/>
  <c r="B194" i="1"/>
  <c r="C194" i="1"/>
  <c r="D194" i="1" s="1"/>
  <c r="A195" i="1"/>
  <c r="B195" i="1"/>
  <c r="C195" i="1"/>
  <c r="D195" i="1" s="1"/>
  <c r="A196" i="1"/>
  <c r="B196" i="1"/>
  <c r="C196" i="1"/>
  <c r="E196" i="1" s="1"/>
  <c r="A197" i="1"/>
  <c r="B197" i="1"/>
  <c r="C197" i="1"/>
  <c r="E197" i="1" s="1"/>
  <c r="A198" i="1"/>
  <c r="B198" i="1"/>
  <c r="C198" i="1"/>
  <c r="D198" i="1" s="1"/>
  <c r="A199" i="1"/>
  <c r="B199" i="1"/>
  <c r="C199" i="1"/>
  <c r="D199" i="1" s="1"/>
  <c r="A200" i="1"/>
  <c r="B200" i="1"/>
  <c r="C200" i="1"/>
  <c r="D200" i="1" s="1"/>
  <c r="A201" i="1"/>
  <c r="B201" i="1"/>
  <c r="C201" i="1"/>
  <c r="E201" i="1" s="1"/>
  <c r="A202" i="1"/>
  <c r="B202" i="1"/>
  <c r="C202" i="1"/>
  <c r="E202" i="1" s="1"/>
  <c r="A203" i="1"/>
  <c r="B203" i="1"/>
  <c r="C203" i="1"/>
  <c r="D203" i="1" s="1"/>
  <c r="A204" i="1"/>
  <c r="B204" i="1"/>
  <c r="C204" i="1"/>
  <c r="E204" i="1" s="1"/>
  <c r="A205" i="1"/>
  <c r="B205" i="1"/>
  <c r="C205" i="1"/>
  <c r="D205" i="1" s="1"/>
  <c r="A206" i="1"/>
  <c r="B206" i="1"/>
  <c r="C206" i="1"/>
  <c r="D206" i="1" s="1"/>
  <c r="A207" i="1"/>
  <c r="B207" i="1"/>
  <c r="C207" i="1"/>
  <c r="D207" i="1" s="1"/>
  <c r="A208" i="1"/>
  <c r="B208" i="1"/>
  <c r="C208" i="1"/>
  <c r="D208" i="1" s="1"/>
  <c r="A209" i="1"/>
  <c r="B209" i="1"/>
  <c r="C209" i="1"/>
  <c r="E209" i="1" s="1"/>
  <c r="A210" i="1"/>
  <c r="B210" i="1"/>
  <c r="C210" i="1"/>
  <c r="E210" i="1" s="1"/>
  <c r="A211" i="1"/>
  <c r="B211" i="1"/>
  <c r="C211" i="1"/>
  <c r="D211" i="1" s="1"/>
  <c r="A212" i="1"/>
  <c r="B212" i="1"/>
  <c r="C212" i="1"/>
  <c r="E212" i="1" s="1"/>
  <c r="A213" i="1"/>
  <c r="B213" i="1"/>
  <c r="C213" i="1"/>
  <c r="D213" i="1" s="1"/>
  <c r="A214" i="1"/>
  <c r="B214" i="1"/>
  <c r="C214" i="1"/>
  <c r="D214" i="1" s="1"/>
  <c r="A215" i="1"/>
  <c r="B215" i="1"/>
  <c r="C215" i="1"/>
  <c r="D215" i="1" s="1"/>
  <c r="A216" i="1"/>
  <c r="B216" i="1"/>
  <c r="C216" i="1"/>
  <c r="D216" i="1" s="1"/>
  <c r="A217" i="1"/>
  <c r="B217" i="1"/>
  <c r="C217" i="1"/>
  <c r="E217" i="1" s="1"/>
  <c r="A218" i="1"/>
  <c r="B218" i="1"/>
  <c r="C218" i="1"/>
  <c r="E218" i="1" s="1"/>
  <c r="A219" i="1"/>
  <c r="B219" i="1"/>
  <c r="C219" i="1"/>
  <c r="D219" i="1" s="1"/>
  <c r="A220" i="1"/>
  <c r="B220" i="1"/>
  <c r="C220" i="1"/>
  <c r="E220" i="1" s="1"/>
  <c r="A221" i="1"/>
  <c r="B221" i="1"/>
  <c r="C221" i="1"/>
  <c r="D221" i="1" s="1"/>
  <c r="A222" i="1"/>
  <c r="B222" i="1"/>
  <c r="C222" i="1"/>
  <c r="D222" i="1" s="1"/>
  <c r="A223" i="1"/>
  <c r="B223" i="1"/>
  <c r="C223" i="1"/>
  <c r="D223" i="1" s="1"/>
  <c r="A224" i="1"/>
  <c r="B224" i="1"/>
  <c r="C224" i="1"/>
  <c r="D224" i="1" s="1"/>
  <c r="A225" i="1"/>
  <c r="B225" i="1"/>
  <c r="C225" i="1"/>
  <c r="E225" i="1" s="1"/>
  <c r="A226" i="1"/>
  <c r="B226" i="1"/>
  <c r="C226" i="1"/>
  <c r="D226" i="1" s="1"/>
  <c r="A227" i="1"/>
  <c r="B227" i="1"/>
  <c r="C227" i="1"/>
  <c r="D227" i="1" s="1"/>
  <c r="A228" i="1"/>
  <c r="B228" i="1"/>
  <c r="C228" i="1"/>
  <c r="E228" i="1" s="1"/>
  <c r="A229" i="1"/>
  <c r="B229" i="1"/>
  <c r="C229" i="1"/>
  <c r="E229" i="1" s="1"/>
  <c r="A230" i="1"/>
  <c r="B230" i="1"/>
  <c r="C230" i="1"/>
  <c r="D230" i="1" s="1"/>
  <c r="A231" i="1"/>
  <c r="B231" i="1"/>
  <c r="C231" i="1"/>
  <c r="D231" i="1" s="1"/>
  <c r="A232" i="1"/>
  <c r="B232" i="1"/>
  <c r="C232" i="1"/>
  <c r="D232" i="1" s="1"/>
  <c r="A233" i="1"/>
  <c r="B233" i="1"/>
  <c r="C233" i="1"/>
  <c r="E233" i="1" s="1"/>
  <c r="A234" i="1"/>
  <c r="B234" i="1"/>
  <c r="C234" i="1"/>
  <c r="E234" i="1" s="1"/>
  <c r="A235" i="1"/>
  <c r="B235" i="1"/>
  <c r="C235" i="1"/>
  <c r="D235" i="1" s="1"/>
  <c r="A236" i="1"/>
  <c r="B236" i="1"/>
  <c r="C236" i="1"/>
  <c r="E236" i="1" s="1"/>
  <c r="A237" i="1"/>
  <c r="B237" i="1"/>
  <c r="C237" i="1"/>
  <c r="D237" i="1" s="1"/>
  <c r="A238" i="1"/>
  <c r="B238" i="1"/>
  <c r="C238" i="1"/>
  <c r="D238" i="1" s="1"/>
  <c r="A239" i="1"/>
  <c r="B239" i="1"/>
  <c r="C239" i="1"/>
  <c r="D239" i="1" s="1"/>
  <c r="A240" i="1"/>
  <c r="B240" i="1"/>
  <c r="C240" i="1"/>
  <c r="D240" i="1" s="1"/>
  <c r="A241" i="1"/>
  <c r="B241" i="1"/>
  <c r="C241" i="1"/>
  <c r="E241" i="1" s="1"/>
  <c r="A242" i="1"/>
  <c r="B242" i="1"/>
  <c r="C242" i="1"/>
  <c r="D242" i="1" s="1"/>
  <c r="A243" i="1"/>
  <c r="B243" i="1"/>
  <c r="C243" i="1"/>
  <c r="D243" i="1" s="1"/>
  <c r="A244" i="1"/>
  <c r="B244" i="1"/>
  <c r="C244" i="1"/>
  <c r="E244" i="1" s="1"/>
  <c r="A245" i="1"/>
  <c r="B245" i="1"/>
  <c r="C245" i="1"/>
  <c r="E245" i="1" s="1"/>
  <c r="A246" i="1"/>
  <c r="B246" i="1"/>
  <c r="C246" i="1"/>
  <c r="D246" i="1" s="1"/>
  <c r="A247" i="1"/>
  <c r="B247" i="1"/>
  <c r="C247" i="1"/>
  <c r="D247" i="1" s="1"/>
  <c r="A248" i="1"/>
  <c r="B248" i="1"/>
  <c r="C248" i="1"/>
  <c r="D248" i="1" s="1"/>
  <c r="A249" i="1"/>
  <c r="B249" i="1"/>
  <c r="C249" i="1"/>
  <c r="E249" i="1" s="1"/>
  <c r="A250" i="1"/>
  <c r="B250" i="1"/>
  <c r="C250" i="1"/>
  <c r="E250" i="1" s="1"/>
  <c r="A251" i="1"/>
  <c r="B251" i="1"/>
  <c r="C251" i="1"/>
  <c r="D251" i="1" s="1"/>
  <c r="A252" i="1"/>
  <c r="B252" i="1"/>
  <c r="C252" i="1"/>
  <c r="E252" i="1" s="1"/>
  <c r="A253" i="1"/>
  <c r="B253" i="1"/>
  <c r="C253" i="1"/>
  <c r="D253" i="1" s="1"/>
  <c r="A254" i="1"/>
  <c r="B254" i="1"/>
  <c r="C254" i="1"/>
  <c r="D254" i="1" s="1"/>
  <c r="A255" i="1"/>
  <c r="B255" i="1"/>
  <c r="C255" i="1"/>
  <c r="D255" i="1" s="1"/>
  <c r="A256" i="1"/>
  <c r="B256" i="1"/>
  <c r="C256" i="1"/>
  <c r="D256" i="1" s="1"/>
  <c r="A257" i="1"/>
  <c r="B257" i="1"/>
  <c r="C257" i="1"/>
  <c r="E257" i="1" s="1"/>
  <c r="A258" i="1"/>
  <c r="B258" i="1"/>
  <c r="C258" i="1"/>
  <c r="D258" i="1" s="1"/>
  <c r="A259" i="1"/>
  <c r="B259" i="1"/>
  <c r="C259" i="1"/>
  <c r="D259" i="1" s="1"/>
  <c r="A260" i="1"/>
  <c r="B260" i="1"/>
  <c r="C260" i="1"/>
  <c r="E260" i="1" s="1"/>
  <c r="A261" i="1"/>
  <c r="B261" i="1"/>
  <c r="C261" i="1"/>
  <c r="E261" i="1" s="1"/>
  <c r="A262" i="1"/>
  <c r="B262" i="1"/>
  <c r="C262" i="1"/>
  <c r="D262" i="1" s="1"/>
  <c r="A263" i="1"/>
  <c r="B263" i="1"/>
  <c r="C263" i="1"/>
  <c r="D263" i="1" s="1"/>
  <c r="A264" i="1"/>
  <c r="B264" i="1"/>
  <c r="C264" i="1"/>
  <c r="D264" i="1" s="1"/>
  <c r="A265" i="1"/>
  <c r="B265" i="1"/>
  <c r="C265" i="1"/>
  <c r="E265" i="1" s="1"/>
  <c r="A266" i="1"/>
  <c r="B266" i="1"/>
  <c r="C266" i="1"/>
  <c r="E266" i="1" s="1"/>
  <c r="A267" i="1"/>
  <c r="B267" i="1"/>
  <c r="C267" i="1"/>
  <c r="D267" i="1" s="1"/>
  <c r="A268" i="1"/>
  <c r="B268" i="1"/>
  <c r="C268" i="1"/>
  <c r="E268" i="1" s="1"/>
  <c r="A269" i="1"/>
  <c r="B269" i="1"/>
  <c r="C269" i="1"/>
  <c r="D269" i="1" s="1"/>
  <c r="A270" i="1"/>
  <c r="B270" i="1"/>
  <c r="C270" i="1"/>
  <c r="D270" i="1" s="1"/>
  <c r="A271" i="1"/>
  <c r="B271" i="1"/>
  <c r="C271" i="1"/>
  <c r="D271" i="1" s="1"/>
  <c r="A272" i="1"/>
  <c r="B272" i="1"/>
  <c r="C272" i="1"/>
  <c r="D272" i="1" s="1"/>
  <c r="A273" i="1"/>
  <c r="B273" i="1"/>
  <c r="C273" i="1"/>
  <c r="E273" i="1" s="1"/>
  <c r="A274" i="1"/>
  <c r="B274" i="1"/>
  <c r="C274" i="1"/>
  <c r="D274" i="1" s="1"/>
  <c r="A275" i="1"/>
  <c r="B275" i="1"/>
  <c r="C275" i="1"/>
  <c r="D275" i="1" s="1"/>
  <c r="A276" i="1"/>
  <c r="B276" i="1"/>
  <c r="C276" i="1"/>
  <c r="E276" i="1" s="1"/>
  <c r="A277" i="1"/>
  <c r="B277" i="1"/>
  <c r="C277" i="1"/>
  <c r="D277" i="1" s="1"/>
  <c r="A278" i="1"/>
  <c r="B278" i="1"/>
  <c r="C278" i="1"/>
  <c r="D278" i="1" s="1"/>
  <c r="A279" i="1"/>
  <c r="B279" i="1"/>
  <c r="C279" i="1"/>
  <c r="D279" i="1" s="1"/>
  <c r="A280" i="1"/>
  <c r="B280" i="1"/>
  <c r="C280" i="1"/>
  <c r="D280" i="1" s="1"/>
  <c r="C14" i="1"/>
  <c r="B14" i="1"/>
  <c r="D14" i="1"/>
  <c r="E14" i="1"/>
  <c r="F14" i="1"/>
  <c r="E251" i="1" l="1"/>
  <c r="E183" i="1"/>
  <c r="E271" i="1"/>
  <c r="D245" i="1"/>
  <c r="E94" i="1"/>
  <c r="D218" i="1"/>
  <c r="D64" i="1"/>
  <c r="D210" i="1"/>
  <c r="D197" i="1"/>
  <c r="D276" i="1"/>
  <c r="E243" i="1"/>
  <c r="E222" i="1"/>
  <c r="D202" i="1"/>
  <c r="E275" i="1"/>
  <c r="D268" i="1"/>
  <c r="E255" i="1"/>
  <c r="D189" i="1"/>
  <c r="E219" i="1"/>
  <c r="E179" i="1"/>
  <c r="E158" i="1"/>
  <c r="D181" i="1"/>
  <c r="E126" i="1"/>
  <c r="E239" i="1"/>
  <c r="E213" i="1"/>
  <c r="E175" i="1"/>
  <c r="E150" i="1"/>
  <c r="E254" i="1"/>
  <c r="D250" i="1"/>
  <c r="E215" i="1"/>
  <c r="D196" i="1"/>
  <c r="E134" i="1"/>
  <c r="E277" i="1"/>
  <c r="E247" i="1"/>
  <c r="D236" i="1"/>
  <c r="E223" i="1"/>
  <c r="E221" i="1"/>
  <c r="D172" i="1"/>
  <c r="E118" i="1"/>
  <c r="E66" i="1"/>
  <c r="E279" i="1"/>
  <c r="E102" i="1"/>
  <c r="E253" i="1"/>
  <c r="D244" i="1"/>
  <c r="D204" i="1"/>
  <c r="D180" i="1"/>
  <c r="E166" i="1"/>
  <c r="E70" i="1"/>
  <c r="E242" i="1"/>
  <c r="E211" i="1"/>
  <c r="E207" i="1"/>
  <c r="E178" i="1"/>
  <c r="D266" i="1"/>
  <c r="D261" i="1"/>
  <c r="E259" i="1"/>
  <c r="D228" i="1"/>
  <c r="E190" i="1"/>
  <c r="D186" i="1"/>
  <c r="E110" i="1"/>
  <c r="D62" i="1"/>
  <c r="D212" i="1"/>
  <c r="E86" i="1"/>
  <c r="E274" i="1"/>
  <c r="D260" i="1"/>
  <c r="D234" i="1"/>
  <c r="D229" i="1"/>
  <c r="E227" i="1"/>
  <c r="E187" i="1"/>
  <c r="E170" i="1"/>
  <c r="E142" i="1"/>
  <c r="E78" i="1"/>
  <c r="E262" i="1"/>
  <c r="E230" i="1"/>
  <c r="E198" i="1"/>
  <c r="D164" i="1"/>
  <c r="E162" i="1"/>
  <c r="D156" i="1"/>
  <c r="E154" i="1"/>
  <c r="D148" i="1"/>
  <c r="E146" i="1"/>
  <c r="D140" i="1"/>
  <c r="E138" i="1"/>
  <c r="D132" i="1"/>
  <c r="E130" i="1"/>
  <c r="D124" i="1"/>
  <c r="E122" i="1"/>
  <c r="D116" i="1"/>
  <c r="E114" i="1"/>
  <c r="D108" i="1"/>
  <c r="E106" i="1"/>
  <c r="D100" i="1"/>
  <c r="E98" i="1"/>
  <c r="D92" i="1"/>
  <c r="E90" i="1"/>
  <c r="D84" i="1"/>
  <c r="E82" i="1"/>
  <c r="D76" i="1"/>
  <c r="E74" i="1"/>
  <c r="D68" i="1"/>
  <c r="E269" i="1"/>
  <c r="E258" i="1"/>
  <c r="E237" i="1"/>
  <c r="E226" i="1"/>
  <c r="E205" i="1"/>
  <c r="E194" i="1"/>
  <c r="E173" i="1"/>
  <c r="E167" i="1"/>
  <c r="E159" i="1"/>
  <c r="E151" i="1"/>
  <c r="E143" i="1"/>
  <c r="E135" i="1"/>
  <c r="E127" i="1"/>
  <c r="E119" i="1"/>
  <c r="E111" i="1"/>
  <c r="E103" i="1"/>
  <c r="E95" i="1"/>
  <c r="E87" i="1"/>
  <c r="E79" i="1"/>
  <c r="E71" i="1"/>
  <c r="E267" i="1"/>
  <c r="E263" i="1"/>
  <c r="D252" i="1"/>
  <c r="E235" i="1"/>
  <c r="E231" i="1"/>
  <c r="D220" i="1"/>
  <c r="E203" i="1"/>
  <c r="E199" i="1"/>
  <c r="D188" i="1"/>
  <c r="D171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278" i="1"/>
  <c r="E246" i="1"/>
  <c r="E214" i="1"/>
  <c r="E182" i="1"/>
  <c r="D163" i="1"/>
  <c r="D155" i="1"/>
  <c r="D147" i="1"/>
  <c r="D139" i="1"/>
  <c r="D131" i="1"/>
  <c r="D123" i="1"/>
  <c r="D115" i="1"/>
  <c r="D107" i="1"/>
  <c r="D99" i="1"/>
  <c r="D91" i="1"/>
  <c r="D83" i="1"/>
  <c r="D75" i="1"/>
  <c r="E191" i="1"/>
  <c r="E195" i="1"/>
  <c r="E270" i="1"/>
  <c r="E238" i="1"/>
  <c r="E206" i="1"/>
  <c r="E174" i="1"/>
  <c r="D273" i="1"/>
  <c r="D265" i="1"/>
  <c r="D257" i="1"/>
  <c r="D249" i="1"/>
  <c r="D241" i="1"/>
  <c r="D233" i="1"/>
  <c r="D225" i="1"/>
  <c r="D217" i="1"/>
  <c r="D209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D73" i="1"/>
  <c r="D65" i="1"/>
  <c r="E63" i="1"/>
  <c r="E272" i="1"/>
  <c r="E264" i="1"/>
  <c r="E256" i="1"/>
  <c r="E248" i="1"/>
  <c r="E240" i="1"/>
  <c r="E232" i="1"/>
  <c r="E224" i="1"/>
  <c r="E216" i="1"/>
  <c r="E208" i="1"/>
  <c r="E200" i="1"/>
  <c r="E192" i="1"/>
  <c r="E184" i="1"/>
  <c r="E176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280" i="1"/>
  <c r="E67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A31" i="1"/>
  <c r="D31" i="1" l="1"/>
  <c r="D32" i="1"/>
  <c r="C33" i="1" l="1"/>
  <c r="D33" i="1" s="1"/>
  <c r="E32" i="1"/>
  <c r="C34" i="1" l="1"/>
  <c r="C35" i="1" s="1"/>
  <c r="C36" i="1" s="1"/>
  <c r="E33" i="1"/>
  <c r="C37" i="1" l="1"/>
  <c r="E36" i="1"/>
  <c r="D36" i="1"/>
  <c r="D34" i="1"/>
  <c r="E34" i="1"/>
  <c r="E35" i="1"/>
  <c r="D35" i="1"/>
  <c r="C38" i="1" l="1"/>
  <c r="D37" i="1"/>
  <c r="E37" i="1"/>
  <c r="C39" i="1" l="1"/>
  <c r="D38" i="1"/>
  <c r="E38" i="1"/>
  <c r="C40" i="1" l="1"/>
  <c r="D39" i="1"/>
  <c r="E39" i="1"/>
  <c r="C41" i="1" l="1"/>
  <c r="E40" i="1"/>
  <c r="D40" i="1"/>
  <c r="C42" i="1" l="1"/>
  <c r="D41" i="1"/>
  <c r="E41" i="1"/>
  <c r="C43" i="1" l="1"/>
  <c r="E42" i="1"/>
  <c r="D42" i="1"/>
  <c r="C44" i="1" l="1"/>
  <c r="E43" i="1"/>
  <c r="D43" i="1"/>
  <c r="C45" i="1" l="1"/>
  <c r="E44" i="1"/>
  <c r="D44" i="1"/>
  <c r="C46" i="1" l="1"/>
  <c r="E45" i="1"/>
  <c r="D45" i="1"/>
  <c r="C47" i="1" l="1"/>
  <c r="E46" i="1"/>
  <c r="D46" i="1"/>
  <c r="C48" i="1" l="1"/>
  <c r="E47" i="1"/>
  <c r="D47" i="1"/>
  <c r="C49" i="1" l="1"/>
  <c r="E48" i="1"/>
  <c r="D48" i="1"/>
  <c r="C50" i="1" l="1"/>
  <c r="D49" i="1"/>
  <c r="E49" i="1"/>
  <c r="C51" i="1" l="1"/>
  <c r="E50" i="1"/>
  <c r="D50" i="1"/>
  <c r="C52" i="1" l="1"/>
  <c r="E51" i="1"/>
  <c r="D51" i="1"/>
  <c r="C53" i="1" l="1"/>
  <c r="E52" i="1"/>
  <c r="D52" i="1"/>
  <c r="C54" i="1" l="1"/>
  <c r="E53" i="1"/>
  <c r="D53" i="1"/>
  <c r="C55" i="1" l="1"/>
  <c r="E54" i="1"/>
  <c r="D54" i="1"/>
  <c r="C56" i="1" l="1"/>
  <c r="E55" i="1"/>
  <c r="D55" i="1"/>
  <c r="C57" i="1" l="1"/>
  <c r="D56" i="1"/>
  <c r="E56" i="1"/>
  <c r="D57" i="1" l="1"/>
  <c r="E57" i="1"/>
  <c r="C59" i="1" l="1"/>
  <c r="E58" i="1"/>
  <c r="D58" i="1"/>
  <c r="C60" i="1" l="1"/>
  <c r="E59" i="1"/>
  <c r="D59" i="1"/>
  <c r="E60" i="1" l="1"/>
  <c r="D60" i="1"/>
</calcChain>
</file>

<file path=xl/sharedStrings.xml><?xml version="1.0" encoding="utf-8"?>
<sst xmlns="http://schemas.openxmlformats.org/spreadsheetml/2006/main" count="229" uniqueCount="136">
  <si>
    <t xml:space="preserve">engionic Femto Gratings GmbH - Am Stollen 19B - 38640 Goslar   </t>
  </si>
  <si>
    <t>Production Sheet Number:</t>
  </si>
  <si>
    <t>Postition:</t>
  </si>
  <si>
    <t>of:</t>
  </si>
  <si>
    <t>Offer Number:</t>
  </si>
  <si>
    <t>Customer:</t>
  </si>
  <si>
    <t>Customer Product ID:</t>
  </si>
  <si>
    <t>Quantity:</t>
  </si>
  <si>
    <t>Contact:</t>
  </si>
  <si>
    <t>Approved By:</t>
  </si>
  <si>
    <t>Date:</t>
  </si>
  <si>
    <t>Remarks:</t>
  </si>
  <si>
    <t>Fiber Specification</t>
  </si>
  <si>
    <t>Fiber Type</t>
  </si>
  <si>
    <t>Fiber Core Type</t>
  </si>
  <si>
    <t>ITU-T</t>
  </si>
  <si>
    <t>Fiber Cladding Diameter (µm)</t>
  </si>
  <si>
    <t>Fiber Coating Material</t>
  </si>
  <si>
    <t>Fiber Manufacturer</t>
  </si>
  <si>
    <t>Fiber Provided By</t>
  </si>
  <si>
    <t>SM1250BI(9.8/125)P</t>
  </si>
  <si>
    <t>eFG</t>
  </si>
  <si>
    <t>FBG Specification</t>
  </si>
  <si>
    <t>Wavelength (nm)</t>
  </si>
  <si>
    <t>Reflectivity (%)</t>
  </si>
  <si>
    <t>FWHM  (nm)</t>
  </si>
  <si>
    <t>min SLSR (dB)</t>
  </si>
  <si>
    <t>FBG Length (mm)</t>
  </si>
  <si>
    <t>FemtoPlus</t>
  </si>
  <si>
    <t>Apodized</t>
  </si>
  <si>
    <t>Nominal Value</t>
  </si>
  <si>
    <t>-</t>
  </si>
  <si>
    <t>yes</t>
  </si>
  <si>
    <t>Plus Tolerance</t>
  </si>
  <si>
    <t>Minus Tolerance</t>
  </si>
  <si>
    <t>Fiber Design</t>
  </si>
  <si>
    <t>Additional Specifications</t>
  </si>
  <si>
    <t>Spectrum on Datasheet</t>
  </si>
  <si>
    <t>Label</t>
  </si>
  <si>
    <t>Total Fiber Length (mm)</t>
  </si>
  <si>
    <r>
      <t>Simplified Packaging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</si>
  <si>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r>
      <t>Tolerance FBG Spacing (%)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</si>
  <si>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t>FBG Marking</t>
  </si>
  <si>
    <t>Fiber Input Marking</t>
  </si>
  <si>
    <t>linear</t>
  </si>
  <si>
    <t>on spool</t>
  </si>
  <si>
    <t>black, FBG-length (±1mm tolerance)</t>
  </si>
  <si>
    <t>black</t>
  </si>
  <si>
    <t>Wavelength Table</t>
  </si>
  <si>
    <t>FBG Name</t>
  </si>
  <si>
    <t>FBG Position (mm)</t>
  </si>
  <si>
    <t>FBG Lead Out (mm)</t>
  </si>
  <si>
    <t>FBG Spacing (mm)</t>
  </si>
  <si>
    <t>Auto Fill Wavelength Table</t>
  </si>
  <si>
    <t>Number of FBGs</t>
  </si>
  <si>
    <t>Position First FBG (mm)</t>
  </si>
  <si>
    <t>FBG Wavelength (nm)</t>
  </si>
  <si>
    <t>Equal Wavelength Spacing</t>
  </si>
  <si>
    <t>Wavelength Spacing (nm)</t>
  </si>
  <si>
    <t>Wavelength first FBG</t>
  </si>
  <si>
    <t>Equal FBG Spacing</t>
  </si>
  <si>
    <t>Spacing (mm)</t>
  </si>
  <si>
    <t>1) continous fiber with multible FBGs/arrays, to be cut by customer</t>
  </si>
  <si>
    <t>2) min. Tolerance Spacing: 1 mm</t>
  </si>
  <si>
    <t>Customers Signature:</t>
  </si>
  <si>
    <t>Contact</t>
  </si>
  <si>
    <t>Core Type</t>
  </si>
  <si>
    <t>Mode Field</t>
  </si>
  <si>
    <t>Fiber Cladding</t>
  </si>
  <si>
    <t>Coating</t>
  </si>
  <si>
    <t>Manufacturer</t>
  </si>
  <si>
    <t>Provided</t>
  </si>
  <si>
    <t>Spectrum</t>
  </si>
  <si>
    <t>FBG</t>
  </si>
  <si>
    <t xml:space="preserve">Fiber </t>
  </si>
  <si>
    <t>WL spacing</t>
  </si>
  <si>
    <t>Pos spacing</t>
  </si>
  <si>
    <t>Simpl. Packag.</t>
  </si>
  <si>
    <t>SMF-28 Ultra</t>
  </si>
  <si>
    <t>Single Mode</t>
  </si>
  <si>
    <t>Acrylate</t>
  </si>
  <si>
    <t>Corning</t>
  </si>
  <si>
    <t>G.657.A1</t>
  </si>
  <si>
    <r>
      <t>black, FBG-length (</t>
    </r>
    <r>
      <rPr>
        <sz val="12"/>
        <color theme="1"/>
        <rFont val="Calibri"/>
        <family val="2"/>
      </rPr>
      <t>±</t>
    </r>
    <r>
      <rPr>
        <sz val="12"/>
        <color theme="1"/>
        <rFont val="Calibri"/>
        <family val="2"/>
        <scheme val="minor"/>
      </rPr>
      <t>1mm tolerance)</t>
    </r>
  </si>
  <si>
    <t>Friedrich</t>
  </si>
  <si>
    <t>SMF-28 Ultra 200</t>
  </si>
  <si>
    <t>customer</t>
  </si>
  <si>
    <t>no</t>
  </si>
  <si>
    <t>logarithmic</t>
  </si>
  <si>
    <t>black, 3 cm dots</t>
  </si>
  <si>
    <t>on fiber</t>
  </si>
  <si>
    <t>Gong</t>
  </si>
  <si>
    <t>SM1330-E9/125PI</t>
  </si>
  <si>
    <t>10,4</t>
  </si>
  <si>
    <t>125</t>
  </si>
  <si>
    <t>Polyimide</t>
  </si>
  <si>
    <t>J-Fiber</t>
  </si>
  <si>
    <t>black, plus black 25 mm to sides</t>
  </si>
  <si>
    <t>green</t>
  </si>
  <si>
    <t>Kampling</t>
  </si>
  <si>
    <t>SM1500SC(7/80)P</t>
  </si>
  <si>
    <t>Pure Core</t>
  </si>
  <si>
    <t>6,7 - 7,6</t>
  </si>
  <si>
    <t>80</t>
  </si>
  <si>
    <t>Fibercore</t>
  </si>
  <si>
    <t>black 12,5 mm to sides</t>
  </si>
  <si>
    <t>Reif</t>
  </si>
  <si>
    <t>Bend Insensitive</t>
  </si>
  <si>
    <t>9 - 10,6</t>
  </si>
  <si>
    <t>red</t>
  </si>
  <si>
    <t>Other (see Remarks)</t>
  </si>
  <si>
    <t>Vasileiou</t>
  </si>
  <si>
    <t>SM1250SC(9/125)</t>
  </si>
  <si>
    <t>8,3 - 9,6</t>
  </si>
  <si>
    <t>Vouilleme</t>
  </si>
  <si>
    <t>SM1250SC(9/125)P</t>
  </si>
  <si>
    <t>Yang</t>
  </si>
  <si>
    <t>SM1250SC(10/125)P</t>
  </si>
  <si>
    <t>9,2 - 10,8</t>
  </si>
  <si>
    <t>IXF-RAD-SM-1550-014-PI</t>
  </si>
  <si>
    <t>Radiation Hard</t>
  </si>
  <si>
    <t>8 - 10</t>
  </si>
  <si>
    <t>iXblue</t>
  </si>
  <si>
    <t>SMF-60-MTDA-125-1</t>
  </si>
  <si>
    <t>9,3 - 10,7</t>
  </si>
  <si>
    <t>Verrillon</t>
  </si>
  <si>
    <t>Ormocer</t>
  </si>
  <si>
    <t>Single Mode Acrylate</t>
  </si>
  <si>
    <t>Single Mode PI</t>
  </si>
  <si>
    <t>Pure Core PI</t>
  </si>
  <si>
    <t xml:space="preserve"> </t>
  </si>
  <si>
    <t>Gillooly</t>
  </si>
  <si>
    <t>Hoffmann</t>
  </si>
  <si>
    <t>V1.14</t>
  </si>
  <si>
    <t>IFIC</t>
  </si>
  <si>
    <t>Fiber with additional 400µm PEEK coating after FBG inscription and FC/APC connector at lead in, tolerance lead in and lead out +/-5mm, tolerance fiber length +/-50mm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</si>
</sst>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1" fontId="4" fillId="0" borderId="2" xfId="0" applyNumberFormat="1" applyFont="1" applyBorder="1" applyAlignment="1" applyProtection="1">
      <alignment horizontal="center" vertical="center"/>
      <protection locked="0"/>
    </xf>
    <xf numFmtId="1" fontId="4" fillId="0" borderId="3" xfId="0" applyNumberFormat="1" applyFont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1" fontId="6" fillId="0" borderId="2" xfId="0" applyNumberFormat="1" applyFont="1" applyBorder="1" applyAlignment="1" applyProtection="1">
      <alignment horizontal="center" vertical="center"/>
      <protection locked="0"/>
    </xf>
    <xf numFmtId="164" fontId="6" fillId="0" borderId="2" xfId="0" applyNumberFormat="1" applyFont="1" applyBorder="1" applyAlignment="1" applyProtection="1">
      <alignment horizontal="center" vertical="center"/>
      <protection locked="0"/>
    </xf>
    <xf numFmtId="2" fontId="6" fillId="0" borderId="2" xfId="0" applyNumberFormat="1" applyFont="1" applyBorder="1" applyAlignment="1" applyProtection="1">
      <alignment horizontal="center" vertical="center"/>
      <protection locked="0"/>
    </xf>
    <xf numFmtId="2" fontId="6" fillId="0" borderId="2" xfId="0" applyNumberFormat="1" applyFont="1" applyBorder="1" applyAlignment="1" applyProtection="1">
      <alignment horizontal="center" vertical="center" wrapText="1"/>
      <protection locked="0"/>
    </xf>
    <xf numFmtId="164" fontId="6" fillId="0" borderId="2" xfId="0" quotePrefix="1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2" fontId="6" fillId="0" borderId="2" xfId="0" applyNumberFormat="1" applyFont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>
      <alignment horizontal="center"/>
    </xf>
    <xf numFmtId="0" fontId="6" fillId="3" borderId="0" xfId="0" applyFont="1" applyFill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0" fontId="0" fillId="0" borderId="1" xfId="0" applyBorder="1"/>
    <xf numFmtId="0" fontId="2" fillId="2" borderId="2" xfId="0" applyFont="1" applyFill="1" applyBorder="1" applyAlignment="1">
      <alignment horizontal="right" vertical="center"/>
    </xf>
    <xf numFmtId="2" fontId="4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2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1" fontId="7" fillId="2" borderId="2" xfId="0" applyNumberFormat="1" applyFont="1" applyFill="1" applyBorder="1" applyAlignment="1">
      <alignment horizontal="right" vertical="top"/>
    </xf>
    <xf numFmtId="1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6" fillId="0" borderId="2" xfId="0" applyFont="1" applyBorder="1" applyAlignment="1">
      <alignment horizontal="center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13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9" fontId="6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2" fillId="0" borderId="0" xfId="0" applyFont="1"/>
    <xf numFmtId="0" fontId="1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6" fillId="0" borderId="0" xfId="0" applyFont="1" applyAlignment="1">
      <alignment vertical="center" wrapText="1"/>
    </xf>
    <xf numFmtId="49" fontId="8" fillId="0" borderId="0" xfId="0" applyNumberFormat="1" applyFont="1" applyAlignment="1">
      <alignment horizontal="center"/>
    </xf>
    <xf numFmtId="0" fontId="6" fillId="0" borderId="0" xfId="0" applyFont="1" applyAlignment="1" applyProtection="1">
      <alignment horizontal="center" vertical="center" wrapText="1"/>
      <protection locked="0"/>
    </xf>
    <xf numFmtId="1" fontId="11" fillId="0" borderId="2" xfId="0" applyNumberFormat="1" applyFont="1" applyBorder="1" applyAlignment="1" applyProtection="1">
      <alignment horizontal="center" vertical="center" wrapText="1"/>
      <protection locked="0"/>
    </xf>
    <xf numFmtId="1" fontId="6" fillId="5" borderId="2" xfId="0" applyNumberFormat="1" applyFont="1" applyFill="1" applyBorder="1" applyAlignment="1" applyProtection="1">
      <alignment horizontal="center"/>
      <protection locked="0"/>
    </xf>
    <xf numFmtId="0" fontId="17" fillId="0" borderId="1" xfId="0" applyFont="1" applyBorder="1" applyAlignment="1">
      <alignment horizontal="right"/>
    </xf>
    <xf numFmtId="2" fontId="8" fillId="0" borderId="2" xfId="0" applyNumberFormat="1" applyFont="1" applyBorder="1" applyAlignment="1" applyProtection="1">
      <alignment horizontal="center" vertical="center"/>
      <protection locked="0"/>
    </xf>
    <xf numFmtId="2" fontId="8" fillId="0" borderId="2" xfId="0" applyNumberFormat="1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>
      <alignment horizontal="center" wrapText="1"/>
    </xf>
    <xf numFmtId="0" fontId="0" fillId="0" borderId="2" xfId="0" applyBorder="1" applyAlignment="1" applyProtection="1">
      <alignment horizontal="center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6" fillId="3" borderId="0" xfId="0" applyFont="1" applyFill="1" applyAlignment="1">
      <alignment horizontal="center"/>
    </xf>
    <xf numFmtId="1" fontId="6" fillId="0" borderId="2" xfId="0" applyNumberFormat="1" applyFont="1" applyBorder="1" applyAlignment="1">
      <alignment horizontal="center" vertical="center" wrapText="1"/>
    </xf>
    <xf numFmtId="0" fontId="0" fillId="0" borderId="0" xfId="0" applyProtection="1">
      <protection locked="0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1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top"/>
      <protection locked="0"/>
    </xf>
    <xf numFmtId="0" fontId="6" fillId="0" borderId="4" xfId="0" applyFont="1" applyBorder="1" applyAlignment="1" applyProtection="1">
      <alignment horizontal="left" vertical="top"/>
      <protection locked="0"/>
    </xf>
    <xf numFmtId="1" fontId="6" fillId="0" borderId="7" xfId="0" applyNumberFormat="1" applyFont="1" applyBorder="1" applyAlignment="1" applyProtection="1">
      <alignment horizontal="left" vertical="top"/>
      <protection locked="0"/>
    </xf>
    <xf numFmtId="1" fontId="6" fillId="0" borderId="8" xfId="0" applyNumberFormat="1" applyFont="1" applyBorder="1" applyAlignment="1" applyProtection="1">
      <alignment horizontal="left" vertical="top"/>
      <protection locked="0"/>
    </xf>
    <xf numFmtId="1" fontId="6" fillId="0" borderId="4" xfId="0" applyNumberFormat="1" applyFont="1" applyBorder="1" applyAlignment="1" applyProtection="1">
      <alignment horizontal="left" vertical="top"/>
      <protection locked="0"/>
    </xf>
    <xf numFmtId="0" fontId="1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2" fontId="6" fillId="0" borderId="2" xfId="0" applyNumberFormat="1" applyFont="1" applyBorder="1" applyAlignment="1" applyProtection="1">
      <alignment horizontal="center" vertical="center"/>
      <protection locked="0"/>
    </xf>
    <xf numFmtId="2" fontId="2" fillId="3" borderId="2" xfId="0" applyNumberFormat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49" fontId="8" fillId="0" borderId="2" xfId="0" applyNumberFormat="1" applyFont="1" applyBorder="1" applyAlignment="1" applyProtection="1">
      <alignment horizontal="left" vertical="center" wrapText="1"/>
      <protection locked="0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right" vertical="center"/>
    </xf>
    <xf numFmtId="1" fontId="3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fmlaLink="Definitions!$W$2" lockText="1" noThreeD="1"/>
</file>

<file path=xl/ctrlProps/ctrlProp2.xml><?xml version="1.0" encoding="utf-8"?>
<formControlPr xmlns="http://schemas.microsoft.com/office/spreadsheetml/2009/9/main" objectType="CheckBox" checked="Checked" fmlaLink="Definitions!$Y$2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38</xdr:row>
          <xdr:rowOff>0</xdr:rowOff>
        </xdr:from>
        <xdr:to>
          <xdr:col>6</xdr:col>
          <xdr:colOff>238125</xdr:colOff>
          <xdr:row>39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45</xdr:row>
          <xdr:rowOff>0</xdr:rowOff>
        </xdr:from>
        <xdr:to>
          <xdr:col>6</xdr:col>
          <xdr:colOff>266700</xdr:colOff>
          <xdr:row>46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6</xdr:col>
      <xdr:colOff>723899</xdr:colOff>
      <xdr:row>0</xdr:row>
      <xdr:rowOff>104775</xdr:rowOff>
    </xdr:from>
    <xdr:to>
      <xdr:col>7</xdr:col>
      <xdr:colOff>571500</xdr:colOff>
      <xdr:row>1</xdr:row>
      <xdr:rowOff>180975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149" y="104775"/>
          <a:ext cx="990601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1409700</xdr:colOff>
      <xdr:row>22</xdr:row>
      <xdr:rowOff>47625</xdr:rowOff>
    </xdr:from>
    <xdr:to>
      <xdr:col>7</xdr:col>
      <xdr:colOff>133350</xdr:colOff>
      <xdr:row>22</xdr:row>
      <xdr:rowOff>1304925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5505450"/>
          <a:ext cx="7200900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P283"/>
  <sheetViews>
    <sheetView tabSelected="1" topLeftCell="A17" zoomScaleNormal="100" workbookViewId="0">
      <selection activeCell="C59" sqref="C59"/>
    </sheetView>
  </sheetViews>
  <sheetFormatPr baseColWidth="10" defaultColWidth="11.42578125" defaultRowHeight="15" x14ac:dyDescent="0.25"/>
  <cols>
    <col min="1" max="1" width="24.28515625" customWidth="1"/>
    <col min="2" max="8" width="17.140625" customWidth="1"/>
    <col min="9" max="15" width="11.42578125" customWidth="1"/>
    <col min="16" max="16" width="10.85546875" bestFit="1" customWidth="1"/>
  </cols>
  <sheetData>
    <row r="1" spans="1:10" ht="64.5" customHeight="1" x14ac:dyDescent="0.25"/>
    <row r="2" spans="1:10" ht="19.5" thickBot="1" x14ac:dyDescent="0.35">
      <c r="A2" s="113" t="s">
        <v>0</v>
      </c>
      <c r="B2" s="113"/>
      <c r="C2" s="113"/>
      <c r="D2" s="113"/>
      <c r="E2" s="113"/>
      <c r="F2" s="18"/>
      <c r="G2" s="18"/>
      <c r="H2" s="68" t="s">
        <v>133</v>
      </c>
    </row>
    <row r="3" spans="1:10" ht="7.5" customHeight="1" x14ac:dyDescent="0.25"/>
    <row r="4" spans="1:10" ht="18.75" x14ac:dyDescent="0.25">
      <c r="A4" s="114" t="s">
        <v>1</v>
      </c>
      <c r="B4" s="114"/>
      <c r="C4" s="115"/>
      <c r="D4" s="115"/>
      <c r="E4" s="19" t="s">
        <v>2</v>
      </c>
      <c r="F4" s="1">
        <v>2</v>
      </c>
      <c r="G4" s="20" t="s">
        <v>3</v>
      </c>
      <c r="H4" s="1">
        <v>2</v>
      </c>
    </row>
    <row r="5" spans="1:10" ht="18.75" x14ac:dyDescent="0.25">
      <c r="A5" s="114" t="s">
        <v>4</v>
      </c>
      <c r="B5" s="114"/>
      <c r="C5" s="115">
        <v>41260063</v>
      </c>
      <c r="D5" s="115"/>
      <c r="E5" s="19" t="s">
        <v>5</v>
      </c>
      <c r="F5" s="112" t="s">
        <v>134</v>
      </c>
      <c r="G5" s="112"/>
      <c r="H5" s="112"/>
    </row>
    <row r="6" spans="1:10" ht="18.75" x14ac:dyDescent="0.3">
      <c r="A6" s="103" t="s">
        <v>6</v>
      </c>
      <c r="B6" s="103"/>
      <c r="C6" s="104"/>
      <c r="D6" s="104"/>
      <c r="E6" s="19" t="s">
        <v>7</v>
      </c>
      <c r="F6" s="2">
        <v>10</v>
      </c>
      <c r="G6" s="21"/>
      <c r="H6" s="21"/>
    </row>
    <row r="7" spans="1:10" ht="7.5" customHeight="1" x14ac:dyDescent="0.25">
      <c r="A7" s="22"/>
      <c r="B7" s="23"/>
      <c r="C7" s="15"/>
      <c r="D7" s="24"/>
    </row>
    <row r="8" spans="1:10" ht="15.75" x14ac:dyDescent="0.25">
      <c r="A8" s="25" t="s">
        <v>8</v>
      </c>
      <c r="B8" s="82" t="s">
        <v>99</v>
      </c>
      <c r="C8" s="82"/>
      <c r="D8" s="26" t="s">
        <v>9</v>
      </c>
      <c r="E8" s="105"/>
      <c r="F8" s="105"/>
      <c r="G8" s="27" t="s">
        <v>10</v>
      </c>
      <c r="H8" s="3"/>
      <c r="I8" s="15"/>
    </row>
    <row r="9" spans="1:10" ht="7.5" customHeight="1" x14ac:dyDescent="0.25">
      <c r="A9" s="28"/>
      <c r="B9" s="29"/>
      <c r="C9" s="23"/>
      <c r="D9" s="30"/>
      <c r="E9" s="31"/>
      <c r="F9" s="31"/>
      <c r="G9" s="31"/>
      <c r="H9" s="31"/>
      <c r="I9" s="15"/>
    </row>
    <row r="10" spans="1:10" ht="46.5" customHeight="1" x14ac:dyDescent="0.25">
      <c r="A10" s="32" t="s">
        <v>11</v>
      </c>
      <c r="B10" s="106" t="s">
        <v>135</v>
      </c>
      <c r="C10" s="106"/>
      <c r="D10" s="106"/>
      <c r="E10" s="106"/>
      <c r="F10" s="106"/>
      <c r="G10" s="106"/>
      <c r="H10" s="106"/>
      <c r="I10" s="15"/>
    </row>
    <row r="11" spans="1:10" ht="7.5" customHeight="1" x14ac:dyDescent="0.25">
      <c r="A11" s="33"/>
      <c r="B11" s="34"/>
      <c r="C11" s="34"/>
      <c r="D11" s="34"/>
      <c r="E11" s="34"/>
      <c r="F11" s="34"/>
      <c r="G11" s="34"/>
      <c r="H11" s="34"/>
    </row>
    <row r="12" spans="1:10" ht="18.75" x14ac:dyDescent="0.25">
      <c r="A12" s="107" t="s">
        <v>12</v>
      </c>
      <c r="B12" s="107"/>
      <c r="C12" s="107"/>
      <c r="D12" s="107"/>
      <c r="E12" s="107"/>
      <c r="F12" s="107"/>
      <c r="G12" s="107"/>
      <c r="H12" s="107"/>
    </row>
    <row r="13" spans="1:10" ht="31.5" x14ac:dyDescent="0.25">
      <c r="A13" s="52" t="s">
        <v>13</v>
      </c>
      <c r="B13" s="52" t="s">
        <v>14</v>
      </c>
      <c r="C13" s="35" t="s">
        <v>15</v>
      </c>
      <c r="D13" s="52" t="s">
        <v>16</v>
      </c>
      <c r="E13" s="52" t="s">
        <v>17</v>
      </c>
      <c r="F13" s="35" t="s">
        <v>18</v>
      </c>
      <c r="H13" s="35" t="s">
        <v>19</v>
      </c>
      <c r="I13" s="36"/>
      <c r="J13" s="37"/>
    </row>
    <row r="14" spans="1:10" ht="15.75" x14ac:dyDescent="0.25">
      <c r="A14" s="4" t="s">
        <v>92</v>
      </c>
      <c r="B14" s="38" t="str">
        <f>VLOOKUP($A$14,Definitions!C2:I16,2,0)</f>
        <v>Single Mode</v>
      </c>
      <c r="C14" s="75" t="str">
        <f>VLOOKUP($A$14,Definitions!C2:I16,7,0)</f>
        <v>-</v>
      </c>
      <c r="D14" s="38" t="str">
        <f>VLOOKUP($A$14,Definitions!C2:I16,4,0)</f>
        <v>125</v>
      </c>
      <c r="E14" s="38" t="str">
        <f>VLOOKUP($A$14,Definitions!C2:I16,5,0)</f>
        <v>Polyimide</v>
      </c>
      <c r="F14" s="38" t="str">
        <f>VLOOKUP($A$14,Definitions!C2:I16,6,0)</f>
        <v>J-Fiber</v>
      </c>
      <c r="H14" s="5" t="s">
        <v>21</v>
      </c>
      <c r="I14" s="39"/>
    </row>
    <row r="15" spans="1:10" ht="7.5" customHeight="1" x14ac:dyDescent="0.25">
      <c r="A15" s="40"/>
      <c r="B15" s="40"/>
      <c r="C15" s="40"/>
      <c r="D15" s="40"/>
      <c r="E15" s="40"/>
      <c r="F15" s="40"/>
      <c r="G15" s="41"/>
      <c r="H15" s="29"/>
      <c r="I15" s="42"/>
    </row>
    <row r="16" spans="1:10" ht="18.75" x14ac:dyDescent="0.25">
      <c r="A16" s="108" t="s">
        <v>22</v>
      </c>
      <c r="B16" s="108"/>
      <c r="C16" s="108"/>
      <c r="D16" s="108"/>
      <c r="E16" s="108"/>
      <c r="F16" s="108"/>
      <c r="G16" s="108"/>
      <c r="H16" s="108"/>
    </row>
    <row r="17" spans="1:16" ht="31.5" x14ac:dyDescent="0.25">
      <c r="A17" s="35"/>
      <c r="B17" s="35" t="s">
        <v>23</v>
      </c>
      <c r="C17" s="35" t="s">
        <v>24</v>
      </c>
      <c r="D17" s="35" t="s">
        <v>25</v>
      </c>
      <c r="E17" s="35" t="s">
        <v>26</v>
      </c>
      <c r="F17" s="35" t="s">
        <v>27</v>
      </c>
      <c r="G17" s="43" t="s">
        <v>28</v>
      </c>
      <c r="H17" s="43" t="s">
        <v>29</v>
      </c>
      <c r="I17" s="44"/>
    </row>
    <row r="18" spans="1:16" ht="15.75" x14ac:dyDescent="0.25">
      <c r="A18" s="45" t="s">
        <v>30</v>
      </c>
      <c r="B18" s="38" t="s">
        <v>31</v>
      </c>
      <c r="C18" s="69">
        <v>25</v>
      </c>
      <c r="D18" s="7">
        <v>0.12</v>
      </c>
      <c r="E18" s="6">
        <v>20</v>
      </c>
      <c r="F18" s="6">
        <v>11</v>
      </c>
      <c r="G18" s="8" t="s">
        <v>32</v>
      </c>
      <c r="H18" s="4" t="s">
        <v>32</v>
      </c>
      <c r="I18" s="40"/>
    </row>
    <row r="19" spans="1:16" ht="15.75" x14ac:dyDescent="0.25">
      <c r="A19" s="46" t="s">
        <v>33</v>
      </c>
      <c r="B19" s="8">
        <v>0.2</v>
      </c>
      <c r="C19" s="70">
        <v>8</v>
      </c>
      <c r="D19" s="8">
        <v>0.03</v>
      </c>
      <c r="E19" s="38" t="s">
        <v>31</v>
      </c>
      <c r="F19" s="9">
        <v>1</v>
      </c>
      <c r="G19" s="15"/>
      <c r="H19" s="15"/>
      <c r="I19" s="40"/>
    </row>
    <row r="20" spans="1:16" ht="15.75" x14ac:dyDescent="0.25">
      <c r="A20" s="46" t="s">
        <v>34</v>
      </c>
      <c r="B20" s="8">
        <v>0.2</v>
      </c>
      <c r="C20" s="70">
        <v>8</v>
      </c>
      <c r="D20" s="8">
        <v>0.03</v>
      </c>
      <c r="E20" s="38" t="s">
        <v>31</v>
      </c>
      <c r="F20" s="9">
        <v>1</v>
      </c>
      <c r="G20" s="15"/>
      <c r="H20" s="15"/>
      <c r="I20" s="40"/>
    </row>
    <row r="21" spans="1:16" ht="7.5" customHeight="1" x14ac:dyDescent="0.25">
      <c r="A21" s="40"/>
      <c r="B21" s="40"/>
      <c r="C21" s="47"/>
      <c r="D21" s="47"/>
      <c r="E21" s="47"/>
      <c r="F21" s="48"/>
      <c r="I21" s="49"/>
    </row>
    <row r="22" spans="1:16" ht="18.75" x14ac:dyDescent="0.25">
      <c r="A22" s="107" t="s">
        <v>35</v>
      </c>
      <c r="B22" s="107"/>
      <c r="C22" s="107"/>
      <c r="D22" s="107"/>
      <c r="E22" s="107"/>
      <c r="F22" s="107"/>
      <c r="G22" s="107"/>
      <c r="H22" s="107"/>
    </row>
    <row r="23" spans="1:16" ht="105.75" customHeight="1" x14ac:dyDescent="0.25">
      <c r="A23" s="109"/>
      <c r="B23" s="109"/>
      <c r="C23" s="109"/>
      <c r="D23" s="109"/>
      <c r="E23" s="109"/>
      <c r="F23" s="109"/>
      <c r="G23" s="109"/>
      <c r="H23" s="109"/>
    </row>
    <row r="24" spans="1:16" ht="7.5" customHeight="1" x14ac:dyDescent="0.25">
      <c r="I24" s="50"/>
    </row>
    <row r="25" spans="1:16" ht="18.75" x14ac:dyDescent="0.3">
      <c r="A25" s="110" t="s">
        <v>36</v>
      </c>
      <c r="B25" s="110"/>
      <c r="C25" s="110"/>
      <c r="D25" s="110"/>
      <c r="E25" s="110"/>
      <c r="F25" s="110"/>
      <c r="G25" s="110"/>
      <c r="H25" s="110"/>
    </row>
    <row r="26" spans="1:16" ht="33.75" x14ac:dyDescent="0.25">
      <c r="A26" s="51" t="s">
        <v>37</v>
      </c>
      <c r="B26" s="43" t="s">
        <v>38</v>
      </c>
      <c r="C26" s="51" t="s">
        <v>39</v>
      </c>
      <c r="D26" s="35" t="s">
        <v>40</v>
      </c>
      <c r="E26" s="71" t="s">
        <v>41</v>
      </c>
      <c r="F26" s="111" t="s">
        <v>42</v>
      </c>
      <c r="G26" s="111"/>
      <c r="H26" s="52" t="s">
        <v>43</v>
      </c>
      <c r="I26" s="15"/>
    </row>
    <row r="27" spans="1:16" ht="15.75" x14ac:dyDescent="0.25">
      <c r="A27" s="4" t="s">
        <v>44</v>
      </c>
      <c r="B27" s="72" t="s">
        <v>45</v>
      </c>
      <c r="C27" s="66">
        <v>13686.5</v>
      </c>
      <c r="D27" s="73" t="s">
        <v>32</v>
      </c>
      <c r="E27" s="67">
        <v>1</v>
      </c>
      <c r="F27" s="102" t="s">
        <v>46</v>
      </c>
      <c r="G27" s="102"/>
      <c r="H27" s="4" t="s">
        <v>47</v>
      </c>
      <c r="I27" s="15"/>
    </row>
    <row r="28" spans="1:16" ht="7.5" customHeight="1" x14ac:dyDescent="0.25">
      <c r="A28" s="53"/>
      <c r="B28" s="54"/>
      <c r="C28" s="54"/>
      <c r="D28" s="24"/>
      <c r="E28" s="55"/>
      <c r="F28" s="56"/>
      <c r="G28" s="28"/>
      <c r="H28" s="24"/>
      <c r="P28" s="57"/>
    </row>
    <row r="29" spans="1:16" ht="18.75" x14ac:dyDescent="0.3">
      <c r="A29" s="91" t="s">
        <v>48</v>
      </c>
      <c r="B29" s="91"/>
      <c r="C29" s="91"/>
      <c r="D29" s="91"/>
      <c r="E29" s="91"/>
      <c r="F29" s="91"/>
      <c r="G29" s="91"/>
      <c r="H29" s="91"/>
      <c r="L29" s="58"/>
      <c r="M29" s="58"/>
      <c r="N29" s="58"/>
      <c r="P29" s="59"/>
    </row>
    <row r="30" spans="1:16" ht="31.5" x14ac:dyDescent="0.25">
      <c r="A30" s="60" t="s">
        <v>49</v>
      </c>
      <c r="B30" s="52" t="s">
        <v>23</v>
      </c>
      <c r="C30" s="52" t="s">
        <v>50</v>
      </c>
      <c r="D30" s="52" t="s">
        <v>51</v>
      </c>
      <c r="E30" s="52" t="s">
        <v>52</v>
      </c>
      <c r="F30" s="65"/>
      <c r="G30" s="30"/>
      <c r="H30" s="15"/>
      <c r="M30" s="15"/>
    </row>
    <row r="31" spans="1:16" ht="15.75" x14ac:dyDescent="0.25">
      <c r="A31" s="10" t="str">
        <f t="shared" ref="A31:A94" si="0">IF($G$33 &gt; ROW()-ROW($A$31),CONCATENATE("FBG",ROW()-ROW($A$30)),"")</f>
        <v>FBG1</v>
      </c>
      <c r="B31" s="11">
        <f>G43</f>
        <v>1535</v>
      </c>
      <c r="C31" s="11">
        <v>244</v>
      </c>
      <c r="D31" s="11">
        <f t="shared" ref="D31:D60" si="1">IF(ISNUMBER(C31),$C$27-$C31,"")</f>
        <v>13442.5</v>
      </c>
      <c r="E31" s="11" t="s">
        <v>31</v>
      </c>
      <c r="F31" s="12"/>
      <c r="G31" s="92" t="s">
        <v>53</v>
      </c>
      <c r="H31" s="92"/>
      <c r="I31" s="50"/>
      <c r="M31" s="15"/>
    </row>
    <row r="32" spans="1:16" ht="15.75" x14ac:dyDescent="0.25">
      <c r="A32" s="10" t="str">
        <f t="shared" si="0"/>
        <v>FBG2</v>
      </c>
      <c r="B32" s="11">
        <f>IF(Definitions!$W$2,IF($G$33 &gt; ROW()-ROW($A$31),$B31+$G$41,""),"")</f>
        <v>1536.15</v>
      </c>
      <c r="C32" s="11">
        <v>562</v>
      </c>
      <c r="D32" s="11">
        <f t="shared" si="1"/>
        <v>13124.5</v>
      </c>
      <c r="E32" s="11">
        <f t="shared" ref="E32:E60" si="2">IF(ISNUMBER(C32),C32-C31,"")</f>
        <v>318</v>
      </c>
      <c r="F32" s="12"/>
      <c r="G32" s="93" t="s">
        <v>54</v>
      </c>
      <c r="H32" s="93"/>
      <c r="I32" s="50"/>
      <c r="L32" s="30"/>
      <c r="M32" s="29"/>
      <c r="N32" s="61"/>
      <c r="O32" s="62"/>
    </row>
    <row r="33" spans="1:15" ht="15.75" x14ac:dyDescent="0.25">
      <c r="A33" s="10" t="str">
        <f t="shared" si="0"/>
        <v>FBG3</v>
      </c>
      <c r="B33" s="11">
        <f>IF(Definitions!$W$2,IF($G$33 &gt; ROW()-ROW($A$31),$B32+$G$41,""),"")</f>
        <v>1537.3000000000002</v>
      </c>
      <c r="C33" s="11">
        <f>IF(AND($G$33 &gt; ROW()-ROW($A$31),Definitions!$Y$2),$C32+$G$48,"")</f>
        <v>1062</v>
      </c>
      <c r="D33" s="11">
        <f t="shared" si="1"/>
        <v>12624.5</v>
      </c>
      <c r="E33" s="11">
        <f t="shared" si="2"/>
        <v>500</v>
      </c>
      <c r="F33" s="12"/>
      <c r="G33" s="82">
        <v>28</v>
      </c>
      <c r="H33" s="82"/>
      <c r="I33" s="50"/>
      <c r="L33" s="63"/>
      <c r="M33" s="30"/>
    </row>
    <row r="34" spans="1:15" ht="15.75" x14ac:dyDescent="0.25">
      <c r="A34" s="10" t="str">
        <f t="shared" si="0"/>
        <v>FBG4</v>
      </c>
      <c r="B34" s="11">
        <f>IF(Definitions!$W$2,IF($G$33 &gt; ROW()-ROW($A$31),$B33+$G$41,""),"")</f>
        <v>1538.4500000000003</v>
      </c>
      <c r="C34" s="11">
        <f>IF(AND($G$33 &gt; ROW()-ROW($A$31),Definitions!$Y$2),$C33+$G$48,"")</f>
        <v>1562</v>
      </c>
      <c r="D34" s="11">
        <f t="shared" si="1"/>
        <v>12124.5</v>
      </c>
      <c r="E34" s="11">
        <f t="shared" si="2"/>
        <v>500</v>
      </c>
      <c r="F34" s="12"/>
      <c r="G34" s="30"/>
      <c r="H34" s="30"/>
      <c r="I34" s="50"/>
      <c r="L34" s="63"/>
      <c r="M34" s="28"/>
    </row>
    <row r="35" spans="1:15" ht="15.75" x14ac:dyDescent="0.25">
      <c r="A35" s="10" t="str">
        <f t="shared" si="0"/>
        <v>FBG5</v>
      </c>
      <c r="B35" s="11">
        <f>IF(Definitions!$W$2,IF($G$33 &gt; ROW()-ROW($A$31),$B34+$G$41,""),"")</f>
        <v>1539.6000000000004</v>
      </c>
      <c r="C35" s="11">
        <f>IF(AND($G$33 &gt; ROW()-ROW($A$31),Definitions!$Y$2),$C34+$G$48,"")</f>
        <v>2062</v>
      </c>
      <c r="D35" s="11">
        <f t="shared" si="1"/>
        <v>11624.5</v>
      </c>
      <c r="E35" s="11">
        <f t="shared" si="2"/>
        <v>500</v>
      </c>
      <c r="F35" s="12"/>
      <c r="G35" s="94" t="s">
        <v>55</v>
      </c>
      <c r="H35" s="94"/>
      <c r="I35" s="50"/>
      <c r="L35" s="54"/>
      <c r="M35" s="24"/>
      <c r="N35" s="28"/>
      <c r="O35" s="56"/>
    </row>
    <row r="36" spans="1:15" ht="15.75" x14ac:dyDescent="0.25">
      <c r="A36" s="10" t="str">
        <f t="shared" si="0"/>
        <v>FBG6</v>
      </c>
      <c r="B36" s="11">
        <f>IF(Definitions!$W$2,IF($G$33 &gt; ROW()-ROW($A$31),$B35+$G$41,""),"")</f>
        <v>1540.7500000000005</v>
      </c>
      <c r="C36" s="11">
        <f>IF(AND($G$33 &gt; ROW()-ROW($A$31),Definitions!$Y$2),$C35+$G$48,"")</f>
        <v>2562</v>
      </c>
      <c r="D36" s="11">
        <f t="shared" si="1"/>
        <v>11124.5</v>
      </c>
      <c r="E36" s="11">
        <f t="shared" si="2"/>
        <v>500</v>
      </c>
      <c r="F36" s="12"/>
      <c r="G36" s="82">
        <v>269</v>
      </c>
      <c r="H36" s="82"/>
      <c r="I36" s="50"/>
      <c r="L36" s="15"/>
      <c r="M36" s="15"/>
    </row>
    <row r="37" spans="1:15" ht="15.75" x14ac:dyDescent="0.25">
      <c r="A37" s="10" t="str">
        <f t="shared" si="0"/>
        <v>FBG7</v>
      </c>
      <c r="B37" s="11">
        <f>IF(Definitions!$W$2,IF($G$33 &gt; ROW()-ROW($A$31),$B36+$G$41,""),"")</f>
        <v>1541.9000000000005</v>
      </c>
      <c r="C37" s="11">
        <f>IF(AND($G$33 &gt; ROW()-ROW($A$31),Definitions!$Y$2),$C36+$G$48,"")</f>
        <v>3062</v>
      </c>
      <c r="D37" s="11">
        <f t="shared" si="1"/>
        <v>10624.5</v>
      </c>
      <c r="E37" s="11">
        <f t="shared" si="2"/>
        <v>500</v>
      </c>
      <c r="F37" s="12"/>
      <c r="I37" s="50"/>
      <c r="L37" s="15"/>
      <c r="M37" s="15"/>
    </row>
    <row r="38" spans="1:15" ht="15.75" x14ac:dyDescent="0.25">
      <c r="A38" s="10" t="str">
        <f t="shared" si="0"/>
        <v>FBG8</v>
      </c>
      <c r="B38" s="11">
        <f>IF(Definitions!$W$2,IF($G$33 &gt; ROW()-ROW($A$31),$B37+$G$41,""),"")</f>
        <v>1543.0500000000006</v>
      </c>
      <c r="C38" s="11">
        <f>IF(AND($G$33 &gt; ROW()-ROW($A$31),Definitions!$Y$2),$C37+$G$48,"")</f>
        <v>3562</v>
      </c>
      <c r="D38" s="11">
        <f t="shared" si="1"/>
        <v>10124.5</v>
      </c>
      <c r="E38" s="11">
        <f t="shared" si="2"/>
        <v>500</v>
      </c>
      <c r="F38" s="12"/>
      <c r="G38" s="95" t="s">
        <v>56</v>
      </c>
      <c r="H38" s="96"/>
      <c r="I38" s="50"/>
      <c r="L38" s="15"/>
      <c r="M38" s="15"/>
    </row>
    <row r="39" spans="1:15" ht="15.75" x14ac:dyDescent="0.25">
      <c r="A39" s="10" t="str">
        <f t="shared" si="0"/>
        <v>FBG9</v>
      </c>
      <c r="B39" s="11">
        <f>IF(Definitions!$W$2,IF($G$33 &gt; ROW()-ROW($A$31),$B38+$G$41,""),"")</f>
        <v>1544.2000000000007</v>
      </c>
      <c r="C39" s="11">
        <f>IF(AND($G$33 &gt; ROW()-ROW($A$31),Definitions!$Y$2),$C38+$G$48,"")</f>
        <v>4062</v>
      </c>
      <c r="D39" s="11">
        <f t="shared" si="1"/>
        <v>9624.5</v>
      </c>
      <c r="E39" s="11">
        <f t="shared" si="2"/>
        <v>500</v>
      </c>
      <c r="F39" s="12"/>
      <c r="G39" s="97" t="s">
        <v>57</v>
      </c>
      <c r="H39" s="98"/>
      <c r="L39" s="15"/>
      <c r="M39" s="15"/>
    </row>
    <row r="40" spans="1:15" ht="15.75" x14ac:dyDescent="0.25">
      <c r="A40" s="10" t="str">
        <f t="shared" si="0"/>
        <v>FBG10</v>
      </c>
      <c r="B40" s="11">
        <f>IF(Definitions!$W$2,IF($G$33 &gt; ROW()-ROW($A$31),$B39+$G$41,""),"")</f>
        <v>1545.3500000000008</v>
      </c>
      <c r="C40" s="11">
        <f>IF(AND($G$33 &gt; ROW()-ROW($A$31),Definitions!$Y$2),$C39+$G$48,"")</f>
        <v>4562</v>
      </c>
      <c r="D40" s="11">
        <f t="shared" si="1"/>
        <v>9124.5</v>
      </c>
      <c r="E40" s="11">
        <f t="shared" si="2"/>
        <v>500</v>
      </c>
      <c r="F40" s="12"/>
      <c r="G40" s="99" t="s">
        <v>58</v>
      </c>
      <c r="H40" s="100"/>
      <c r="L40" s="15"/>
      <c r="M40" s="15"/>
    </row>
    <row r="41" spans="1:15" ht="15.75" x14ac:dyDescent="0.25">
      <c r="A41" s="10" t="str">
        <f t="shared" si="0"/>
        <v>FBG11</v>
      </c>
      <c r="B41" s="11">
        <f>IF(Definitions!$W$2,IF($G$33 &gt; ROW()-ROW($A$31),$B40+$G$41,""),"")</f>
        <v>1546.5000000000009</v>
      </c>
      <c r="C41" s="11">
        <f>IF(AND($G$33 &gt; ROW()-ROW($A$31),Definitions!$Y$2),$C40+$G$48,"")</f>
        <v>5062</v>
      </c>
      <c r="D41" s="11">
        <f t="shared" si="1"/>
        <v>8624.5</v>
      </c>
      <c r="E41" s="11">
        <f t="shared" si="2"/>
        <v>500</v>
      </c>
      <c r="F41" s="12"/>
      <c r="G41" s="90">
        <v>1.1499999999999999</v>
      </c>
      <c r="H41" s="90"/>
      <c r="L41" s="15"/>
      <c r="M41" s="15"/>
    </row>
    <row r="42" spans="1:15" ht="15.75" x14ac:dyDescent="0.25">
      <c r="A42" s="10" t="str">
        <f t="shared" si="0"/>
        <v>FBG12</v>
      </c>
      <c r="B42" s="11">
        <f>IF(Definitions!$W$2,IF($G$33 &gt; ROW()-ROW($A$31),$B41+$G$41,""),"")</f>
        <v>1547.650000000001</v>
      </c>
      <c r="C42" s="11">
        <f>IF(AND($G$33 &gt; ROW()-ROW($A$31),Definitions!$Y$2),$C41+$G$48,"")</f>
        <v>5562</v>
      </c>
      <c r="D42" s="11">
        <f t="shared" si="1"/>
        <v>8124.5</v>
      </c>
      <c r="E42" s="11">
        <f t="shared" si="2"/>
        <v>500</v>
      </c>
      <c r="F42" s="12"/>
      <c r="G42" s="101" t="s">
        <v>59</v>
      </c>
      <c r="H42" s="101"/>
      <c r="L42" s="15"/>
      <c r="M42" s="15"/>
    </row>
    <row r="43" spans="1:15" ht="15.75" x14ac:dyDescent="0.25">
      <c r="A43" s="10" t="str">
        <f t="shared" si="0"/>
        <v>FBG13</v>
      </c>
      <c r="B43" s="11">
        <f>IF(Definitions!$W$2,IF($G$33 &gt; ROW()-ROW($A$31),$B42+$G$41,""),"")</f>
        <v>1548.8000000000011</v>
      </c>
      <c r="C43" s="11">
        <f>IF(AND($G$33 &gt; ROW()-ROW($A$31),Definitions!$Y$2),$C42+$G$48,"")</f>
        <v>6062</v>
      </c>
      <c r="D43" s="11">
        <f t="shared" si="1"/>
        <v>7624.5</v>
      </c>
      <c r="E43" s="11">
        <f t="shared" si="2"/>
        <v>500</v>
      </c>
      <c r="F43" s="12"/>
      <c r="G43" s="90">
        <v>1535</v>
      </c>
      <c r="H43" s="90"/>
      <c r="L43" s="15"/>
      <c r="M43" s="15"/>
    </row>
    <row r="44" spans="1:15" ht="15.75" x14ac:dyDescent="0.25">
      <c r="A44" s="10" t="str">
        <f t="shared" si="0"/>
        <v>FBG14</v>
      </c>
      <c r="B44" s="11">
        <f>IF(Definitions!$W$2,IF($G$33 &gt; ROW()-ROW($A$31),$B43+$G$41,""),"")</f>
        <v>1549.9500000000012</v>
      </c>
      <c r="C44" s="11">
        <f>IF(AND($G$33 &gt; ROW()-ROW($A$31),Definitions!$Y$2),$C43+$G$48,"")</f>
        <v>6562</v>
      </c>
      <c r="D44" s="11">
        <f t="shared" si="1"/>
        <v>7124.5</v>
      </c>
      <c r="E44" s="11">
        <f t="shared" si="2"/>
        <v>500</v>
      </c>
      <c r="F44" s="12"/>
      <c r="G44" s="15"/>
      <c r="H44" s="15"/>
      <c r="J44" s="15"/>
      <c r="K44" s="15"/>
      <c r="L44" s="15"/>
      <c r="M44" s="15"/>
    </row>
    <row r="45" spans="1:15" ht="15.75" x14ac:dyDescent="0.25">
      <c r="A45" s="10" t="str">
        <f t="shared" si="0"/>
        <v>FBG15</v>
      </c>
      <c r="B45" s="11">
        <f>IF(Definitions!$W$2,IF($G$33 &gt; ROW()-ROW($A$31),$B44+$G$41,""),"")</f>
        <v>1551.1000000000013</v>
      </c>
      <c r="C45" s="11">
        <f>IF(AND($G$33 &gt; ROW()-ROW($A$31),Definitions!$Y$2),$C44+$G$48,"")</f>
        <v>7062</v>
      </c>
      <c r="D45" s="11">
        <f t="shared" si="1"/>
        <v>6624.5</v>
      </c>
      <c r="E45" s="11">
        <f t="shared" si="2"/>
        <v>500</v>
      </c>
      <c r="F45" s="12"/>
      <c r="G45" s="77" t="s">
        <v>52</v>
      </c>
      <c r="H45" s="78"/>
      <c r="J45" s="15"/>
      <c r="K45" s="15"/>
    </row>
    <row r="46" spans="1:15" ht="15.75" x14ac:dyDescent="0.25">
      <c r="A46" s="10" t="str">
        <f t="shared" si="0"/>
        <v>FBG16</v>
      </c>
      <c r="B46" s="11">
        <f>IF(Definitions!$W$2,IF($G$33 &gt; ROW()-ROW($A$31),$B45+$G$41,""),"")</f>
        <v>1552.2500000000014</v>
      </c>
      <c r="C46" s="11">
        <f>IF(AND($G$33 &gt; ROW()-ROW($A$31),Definitions!$Y$2),$C45+$G$48,"")</f>
        <v>7562</v>
      </c>
      <c r="D46" s="11">
        <f t="shared" si="1"/>
        <v>6124.5</v>
      </c>
      <c r="E46" s="11">
        <f t="shared" si="2"/>
        <v>500</v>
      </c>
      <c r="F46" s="12"/>
      <c r="G46" s="79" t="s">
        <v>60</v>
      </c>
      <c r="H46" s="80"/>
    </row>
    <row r="47" spans="1:15" ht="15.75" x14ac:dyDescent="0.25">
      <c r="A47" s="10" t="str">
        <f t="shared" si="0"/>
        <v>FBG17</v>
      </c>
      <c r="B47" s="11">
        <f>IF(Definitions!$W$2,IF($G$33 &gt; ROW()-ROW($A$31),$B46+$G$41,""),"")</f>
        <v>1553.4000000000015</v>
      </c>
      <c r="C47" s="11">
        <f>IF(AND($G$33 &gt; ROW()-ROW($A$31),Definitions!$Y$2),$C46+$G$48,"")</f>
        <v>8062</v>
      </c>
      <c r="D47" s="11">
        <f t="shared" si="1"/>
        <v>5624.5</v>
      </c>
      <c r="E47" s="11">
        <f t="shared" si="2"/>
        <v>500</v>
      </c>
      <c r="F47" s="12"/>
      <c r="G47" s="81" t="s">
        <v>61</v>
      </c>
      <c r="H47" s="81"/>
    </row>
    <row r="48" spans="1:15" ht="15.75" x14ac:dyDescent="0.25">
      <c r="A48" s="10" t="str">
        <f t="shared" si="0"/>
        <v>FBG18</v>
      </c>
      <c r="B48" s="11">
        <f>IF(Definitions!$W$2,IF($G$33 &gt; ROW()-ROW($A$31),$B47+$G$41,""),"")</f>
        <v>1554.5500000000015</v>
      </c>
      <c r="C48" s="11">
        <f>IF(AND($G$33 &gt; ROW()-ROW($A$31),Definitions!$Y$2),$C47+$G$48,"")</f>
        <v>8562</v>
      </c>
      <c r="D48" s="11">
        <f t="shared" si="1"/>
        <v>5124.5</v>
      </c>
      <c r="E48" s="11">
        <f t="shared" si="2"/>
        <v>500</v>
      </c>
      <c r="F48" s="12"/>
      <c r="G48" s="82">
        <v>500</v>
      </c>
      <c r="H48" s="82"/>
    </row>
    <row r="49" spans="1:8" ht="15.75" x14ac:dyDescent="0.25">
      <c r="A49" s="10" t="str">
        <f t="shared" si="0"/>
        <v>FBG19</v>
      </c>
      <c r="B49" s="11">
        <f>IF(Definitions!$W$2,IF($G$33 &gt; ROW()-ROW($A$31),$B48+$G$41,""),"")</f>
        <v>1555.7000000000016</v>
      </c>
      <c r="C49" s="11">
        <f>IF(AND($G$33 &gt; ROW()-ROW($A$31),Definitions!$Y$2),$C48+$G$48,"")</f>
        <v>9062</v>
      </c>
      <c r="D49" s="11">
        <f t="shared" si="1"/>
        <v>4624.5</v>
      </c>
      <c r="E49" s="11">
        <f t="shared" si="2"/>
        <v>500</v>
      </c>
      <c r="F49" s="12"/>
      <c r="G49" s="28"/>
      <c r="H49" s="15"/>
    </row>
    <row r="50" spans="1:8" ht="15.75" x14ac:dyDescent="0.25">
      <c r="A50" s="10" t="str">
        <f t="shared" si="0"/>
        <v>FBG20</v>
      </c>
      <c r="B50" s="11">
        <f>IF(Definitions!$W$2,IF($G$33 &gt; ROW()-ROW($A$31),$B49+$G$41,""),"")</f>
        <v>1556.8500000000017</v>
      </c>
      <c r="C50" s="11">
        <f>IF(AND($G$33 &gt; ROW()-ROW($A$31),Definitions!$Y$2),$C49+$G$48,"")</f>
        <v>9562</v>
      </c>
      <c r="D50" s="11">
        <f t="shared" si="1"/>
        <v>4124.5</v>
      </c>
      <c r="E50" s="11">
        <f t="shared" si="2"/>
        <v>500</v>
      </c>
      <c r="F50" s="12"/>
    </row>
    <row r="51" spans="1:8" ht="15.75" x14ac:dyDescent="0.25">
      <c r="A51" s="10" t="str">
        <f t="shared" si="0"/>
        <v>FBG21</v>
      </c>
      <c r="B51" s="11">
        <f>IF(Definitions!$W$2,IF($G$33 &gt; ROW()-ROW($A$31),$B50+$G$41,""),"")</f>
        <v>1558.0000000000018</v>
      </c>
      <c r="C51" s="11">
        <f>IF(AND($G$33 &gt; ROW()-ROW($A$31),Definitions!$Y$2),$C50+$G$48,"")</f>
        <v>10062</v>
      </c>
      <c r="D51" s="11">
        <f t="shared" si="1"/>
        <v>3624.5</v>
      </c>
      <c r="E51" s="11">
        <f t="shared" si="2"/>
        <v>500</v>
      </c>
      <c r="F51" s="12"/>
    </row>
    <row r="52" spans="1:8" ht="15.75" x14ac:dyDescent="0.25">
      <c r="A52" s="10" t="str">
        <f t="shared" si="0"/>
        <v>FBG22</v>
      </c>
      <c r="B52" s="11">
        <f>IF(Definitions!$W$2,IF($G$33 &gt; ROW()-ROW($A$31),$B51+$G$41,""),"")</f>
        <v>1559.1500000000019</v>
      </c>
      <c r="C52" s="11">
        <f>IF(AND($G$33 &gt; ROW()-ROW($A$31),Definitions!$Y$2),$C51+$G$48,"")</f>
        <v>10562</v>
      </c>
      <c r="D52" s="11">
        <f t="shared" si="1"/>
        <v>3124.5</v>
      </c>
      <c r="E52" s="11">
        <f t="shared" si="2"/>
        <v>500</v>
      </c>
      <c r="F52" s="12"/>
    </row>
    <row r="53" spans="1:8" ht="15.75" x14ac:dyDescent="0.25">
      <c r="A53" s="10" t="str">
        <f t="shared" si="0"/>
        <v>FBG23</v>
      </c>
      <c r="B53" s="11">
        <f>IF(Definitions!$W$2,IF($G$33 &gt; ROW()-ROW($A$31),$B52+$G$41,""),"")</f>
        <v>1560.300000000002</v>
      </c>
      <c r="C53" s="11">
        <f>IF(AND($G$33 &gt; ROW()-ROW($A$31),Definitions!$Y$2),$C52+$G$48,"")</f>
        <v>11062</v>
      </c>
      <c r="D53" s="11">
        <f t="shared" si="1"/>
        <v>2624.5</v>
      </c>
      <c r="E53" s="11">
        <f t="shared" si="2"/>
        <v>500</v>
      </c>
      <c r="F53" s="12"/>
      <c r="G53" s="28"/>
      <c r="H53" s="15"/>
    </row>
    <row r="54" spans="1:8" ht="15.75" x14ac:dyDescent="0.25">
      <c r="A54" s="10" t="str">
        <f t="shared" si="0"/>
        <v>FBG24</v>
      </c>
      <c r="B54" s="11">
        <f>IF(Definitions!$W$2,IF($G$33 &gt; ROW()-ROW($A$31),$B53+$G$41,""),"")</f>
        <v>1561.4500000000021</v>
      </c>
      <c r="C54" s="11">
        <f>IF(AND($G$33 &gt; ROW()-ROW($A$31),Definitions!$Y$2),$C53+$G$48,"")</f>
        <v>11562</v>
      </c>
      <c r="D54" s="11">
        <f t="shared" si="1"/>
        <v>2124.5</v>
      </c>
      <c r="E54" s="11">
        <f t="shared" si="2"/>
        <v>500</v>
      </c>
      <c r="F54" s="12"/>
      <c r="G54" s="28"/>
      <c r="H54" s="15"/>
    </row>
    <row r="55" spans="1:8" ht="15.75" x14ac:dyDescent="0.25">
      <c r="A55" s="10" t="str">
        <f t="shared" si="0"/>
        <v>FBG25</v>
      </c>
      <c r="B55" s="11">
        <f>IF(Definitions!$W$2,IF($G$33 &gt; ROW()-ROW($A$31),$B54+$G$41,""),"")</f>
        <v>1562.6000000000022</v>
      </c>
      <c r="C55" s="11">
        <f>IF(AND($G$33 &gt; ROW()-ROW($A$31),Definitions!$Y$2),$C54+$G$48,"")</f>
        <v>12062</v>
      </c>
      <c r="D55" s="11">
        <f t="shared" si="1"/>
        <v>1624.5</v>
      </c>
      <c r="E55" s="11">
        <f t="shared" si="2"/>
        <v>500</v>
      </c>
      <c r="F55" s="12"/>
      <c r="G55" s="28"/>
      <c r="H55" s="15"/>
    </row>
    <row r="56" spans="1:8" ht="15.75" x14ac:dyDescent="0.25">
      <c r="A56" s="10" t="str">
        <f t="shared" si="0"/>
        <v>FBG26</v>
      </c>
      <c r="B56" s="11">
        <f>IF(Definitions!$W$2,IF($G$33 &gt; ROW()-ROW($A$31),$B55+$G$41,""),"")</f>
        <v>1563.7500000000023</v>
      </c>
      <c r="C56" s="11">
        <f>IF(AND($G$33 &gt; ROW()-ROW($A$31),Definitions!$Y$2),$C55+$G$48,"")</f>
        <v>12562</v>
      </c>
      <c r="D56" s="11">
        <f t="shared" si="1"/>
        <v>1124.5</v>
      </c>
      <c r="E56" s="11">
        <f t="shared" si="2"/>
        <v>500</v>
      </c>
      <c r="F56" s="12"/>
      <c r="G56" s="28"/>
      <c r="H56" s="15"/>
    </row>
    <row r="57" spans="1:8" ht="15.75" x14ac:dyDescent="0.25">
      <c r="A57" s="10" t="str">
        <f t="shared" si="0"/>
        <v>FBG27</v>
      </c>
      <c r="B57" s="11">
        <f>IF(Definitions!$W$2,IF($G$33 &gt; ROW()-ROW($A$31),$B56+$G$41,""),"")</f>
        <v>1564.9000000000024</v>
      </c>
      <c r="C57" s="11">
        <f>IF(AND($G$33 &gt; ROW()-ROW($A$31),Definitions!$Y$2),$C56+$G$48,"")</f>
        <v>13062</v>
      </c>
      <c r="D57" s="11">
        <f t="shared" si="1"/>
        <v>624.5</v>
      </c>
      <c r="E57" s="11">
        <f t="shared" si="2"/>
        <v>500</v>
      </c>
      <c r="F57" s="12"/>
      <c r="G57" s="28"/>
      <c r="H57" s="15"/>
    </row>
    <row r="58" spans="1:8" ht="15.75" x14ac:dyDescent="0.25">
      <c r="A58" s="10" t="str">
        <f t="shared" si="0"/>
        <v>FBG28</v>
      </c>
      <c r="B58" s="11">
        <f>IF(Definitions!$W$2,IF($G$33 &gt; ROW()-ROW($A$31),$B57+$G$41,""),"")</f>
        <v>1566.0500000000025</v>
      </c>
      <c r="C58" s="11">
        <v>13343</v>
      </c>
      <c r="D58" s="11">
        <f t="shared" si="1"/>
        <v>343.5</v>
      </c>
      <c r="E58" s="11">
        <f t="shared" si="2"/>
        <v>281</v>
      </c>
      <c r="F58" s="12"/>
      <c r="G58" s="89" t="s">
        <v>62</v>
      </c>
      <c r="H58" s="89"/>
    </row>
    <row r="59" spans="1:8" ht="15.75" x14ac:dyDescent="0.25">
      <c r="A59" s="10" t="str">
        <f t="shared" si="0"/>
        <v/>
      </c>
      <c r="B59" s="11" t="str">
        <f>IF(Definitions!$W$2,IF($G$33 &gt; ROW()-ROW($A$31),$B58+$G$41,""),"")</f>
        <v/>
      </c>
      <c r="C59" s="11" t="str">
        <f>IF(AND($G$33 &gt; ROW()-ROW($A$31),Definitions!$Y$2),$C58+$G$48,"")</f>
        <v/>
      </c>
      <c r="D59" s="11" t="str">
        <f t="shared" si="1"/>
        <v/>
      </c>
      <c r="E59" s="11" t="str">
        <f t="shared" si="2"/>
        <v/>
      </c>
      <c r="F59" s="12"/>
      <c r="G59" s="89"/>
      <c r="H59" s="89"/>
    </row>
    <row r="60" spans="1:8" ht="15.75" x14ac:dyDescent="0.25">
      <c r="A60" s="10" t="str">
        <f t="shared" si="0"/>
        <v/>
      </c>
      <c r="B60" s="11" t="str">
        <f>IF(Definitions!$W$2,IF($G$33 &gt; ROW()-ROW($A$31),$B59+$G$41,""),"")</f>
        <v/>
      </c>
      <c r="C60" s="11" t="str">
        <f>IF(AND($G$33 &gt; ROW()-ROW($A$31),Definitions!$Y$2),$C59+$G$48,"")</f>
        <v/>
      </c>
      <c r="D60" s="11" t="str">
        <f t="shared" si="1"/>
        <v/>
      </c>
      <c r="E60" s="11" t="str">
        <f t="shared" si="2"/>
        <v/>
      </c>
      <c r="F60" s="12"/>
      <c r="G60" s="88" t="s">
        <v>63</v>
      </c>
      <c r="H60" s="88"/>
    </row>
    <row r="61" spans="1:8" ht="15.75" x14ac:dyDescent="0.25">
      <c r="A61" s="10" t="str">
        <f t="shared" si="0"/>
        <v/>
      </c>
      <c r="B61" s="11" t="str">
        <f>IF(Definitions!$W$2,IF($G$33 &gt; ROW()-ROW($A$31),$B60+$G$41,""),"")</f>
        <v/>
      </c>
      <c r="C61" s="11" t="str">
        <f>IF(AND($G$33 &gt; ROW()-ROW($A$31),Definitions!$Y$2),$C60+$G$48,"")</f>
        <v/>
      </c>
      <c r="D61" s="11" t="str">
        <f t="shared" ref="D61:D124" si="3">IF(ISNUMBER(C61),$C$27-$C61,"")</f>
        <v/>
      </c>
      <c r="E61" s="11" t="str">
        <f t="shared" ref="E61:E124" si="4">IF(ISNUMBER(C61),C61-C60,"")</f>
        <v/>
      </c>
      <c r="F61" s="12"/>
      <c r="G61" s="28"/>
      <c r="H61" s="15"/>
    </row>
    <row r="62" spans="1:8" ht="15.75" x14ac:dyDescent="0.25">
      <c r="A62" s="10" t="str">
        <f t="shared" si="0"/>
        <v/>
      </c>
      <c r="B62" s="11" t="str">
        <f>IF(Definitions!$W$2,IF($G$33 &gt; ROW()-ROW($A$31),$B61+$G$41,""),"")</f>
        <v/>
      </c>
      <c r="C62" s="11" t="str">
        <f>IF(AND($G$33 &gt; ROW()-ROW($A$31),Definitions!$Y$2),$C61+$G$48,"")</f>
        <v/>
      </c>
      <c r="D62" s="11" t="str">
        <f t="shared" si="3"/>
        <v/>
      </c>
      <c r="E62" s="11" t="str">
        <f t="shared" si="4"/>
        <v/>
      </c>
      <c r="F62" s="12"/>
      <c r="G62" s="28"/>
      <c r="H62" s="15"/>
    </row>
    <row r="63" spans="1:8" ht="15.75" x14ac:dyDescent="0.25">
      <c r="A63" s="10" t="str">
        <f t="shared" si="0"/>
        <v/>
      </c>
      <c r="B63" s="11" t="str">
        <f>IF(Definitions!$W$2,IF($G$33 &gt; ROW()-ROW($A$31),$B62+$G$41,""),"")</f>
        <v/>
      </c>
      <c r="C63" s="11" t="str">
        <f>IF(AND($G$33 &gt; ROW()-ROW($A$31),Definitions!$Y$2),$C62+$G$48,"")</f>
        <v/>
      </c>
      <c r="D63" s="11" t="str">
        <f t="shared" si="3"/>
        <v/>
      </c>
      <c r="E63" s="11" t="str">
        <f t="shared" si="4"/>
        <v/>
      </c>
      <c r="F63" s="76"/>
    </row>
    <row r="64" spans="1:8" ht="15.75" x14ac:dyDescent="0.25">
      <c r="A64" s="10" t="str">
        <f t="shared" si="0"/>
        <v/>
      </c>
      <c r="B64" s="11" t="str">
        <f>IF(Definitions!$W$2,IF($G$33 &gt; ROW()-ROW($A$31),$B63+$G$41,""),"")</f>
        <v/>
      </c>
      <c r="C64" s="11" t="str">
        <f>IF(AND($G$33 &gt; ROW()-ROW($A$31),Definitions!$Y$2),$C63+$G$48,"")</f>
        <v/>
      </c>
      <c r="D64" s="11" t="str">
        <f t="shared" si="3"/>
        <v/>
      </c>
      <c r="E64" s="11" t="str">
        <f t="shared" si="4"/>
        <v/>
      </c>
      <c r="F64" s="12"/>
      <c r="G64" s="28"/>
      <c r="H64" s="15"/>
    </row>
    <row r="65" spans="1:8" ht="15.75" x14ac:dyDescent="0.25">
      <c r="A65" s="10" t="str">
        <f t="shared" si="0"/>
        <v/>
      </c>
      <c r="B65" s="11" t="str">
        <f>IF(Definitions!$W$2,IF($G$33 &gt; ROW()-ROW($A$31),$B64+$G$41,""),"")</f>
        <v/>
      </c>
      <c r="C65" s="11" t="str">
        <f>IF(AND($G$33 &gt; ROW()-ROW($A$31),Definitions!$Y$2),$C64+$G$48,"")</f>
        <v/>
      </c>
      <c r="D65" s="11" t="str">
        <f t="shared" si="3"/>
        <v/>
      </c>
      <c r="E65" s="11" t="str">
        <f t="shared" si="4"/>
        <v/>
      </c>
      <c r="F65" s="12"/>
      <c r="G65" s="28"/>
      <c r="H65" s="15"/>
    </row>
    <row r="66" spans="1:8" ht="15.75" x14ac:dyDescent="0.25">
      <c r="A66" s="10" t="str">
        <f t="shared" si="0"/>
        <v/>
      </c>
      <c r="B66" s="11" t="str">
        <f>IF(Definitions!$W$2,IF($G$33 &gt; ROW()-ROW($A$31),$B65+$G$41,""),"")</f>
        <v/>
      </c>
      <c r="C66" s="11" t="str">
        <f>IF(AND($G$33 &gt; ROW()-ROW($A$31),Definitions!$Y$2),$C65+$G$48,"")</f>
        <v/>
      </c>
      <c r="D66" s="11" t="str">
        <f t="shared" si="3"/>
        <v/>
      </c>
      <c r="E66" s="11" t="str">
        <f t="shared" si="4"/>
        <v/>
      </c>
      <c r="F66" s="12"/>
      <c r="G66" s="15"/>
      <c r="H66" s="15"/>
    </row>
    <row r="67" spans="1:8" ht="15.75" x14ac:dyDescent="0.25">
      <c r="A67" s="10" t="str">
        <f t="shared" si="0"/>
        <v/>
      </c>
      <c r="B67" s="11" t="str">
        <f>IF(Definitions!$W$2,IF($G$33 &gt; ROW()-ROW($A$31),$B66+$G$41,""),"")</f>
        <v/>
      </c>
      <c r="C67" s="11" t="str">
        <f>IF(AND($G$33 &gt; ROW()-ROW($A$31),Definitions!$Y$2),$C66+$G$48,"")</f>
        <v/>
      </c>
      <c r="D67" s="11" t="str">
        <f t="shared" si="3"/>
        <v/>
      </c>
      <c r="E67" s="11" t="str">
        <f t="shared" si="4"/>
        <v/>
      </c>
      <c r="F67" s="12"/>
      <c r="G67" s="15"/>
      <c r="H67" s="15"/>
    </row>
    <row r="68" spans="1:8" ht="15.75" x14ac:dyDescent="0.25">
      <c r="A68" s="10" t="str">
        <f t="shared" si="0"/>
        <v/>
      </c>
      <c r="B68" s="11" t="str">
        <f>IF(Definitions!$W$2,IF($G$33 &gt; ROW()-ROW($A$31),$B67+$G$41,""),"")</f>
        <v/>
      </c>
      <c r="C68" s="11" t="str">
        <f>IF(AND($G$33 &gt; ROW()-ROW($A$31),Definitions!$Y$2),$C67+$G$48,"")</f>
        <v/>
      </c>
      <c r="D68" s="11" t="str">
        <f t="shared" si="3"/>
        <v/>
      </c>
      <c r="E68" s="11" t="str">
        <f t="shared" si="4"/>
        <v/>
      </c>
      <c r="F68" s="12"/>
      <c r="G68" s="15"/>
      <c r="H68" s="15"/>
    </row>
    <row r="69" spans="1:8" ht="15.75" x14ac:dyDescent="0.25">
      <c r="A69" s="10" t="str">
        <f t="shared" si="0"/>
        <v/>
      </c>
      <c r="B69" s="11" t="str">
        <f>IF(Definitions!$W$2,IF($G$33 &gt; ROW()-ROW($A$31),$B68+$G$41,""),"")</f>
        <v/>
      </c>
      <c r="C69" s="11" t="str">
        <f>IF(AND($G$33 &gt; ROW()-ROW($A$31),Definitions!$Y$2),$C68+$G$48,"")</f>
        <v/>
      </c>
      <c r="D69" s="11" t="str">
        <f t="shared" si="3"/>
        <v/>
      </c>
      <c r="E69" s="11" t="str">
        <f t="shared" si="4"/>
        <v/>
      </c>
      <c r="F69" s="76"/>
      <c r="G69" s="15"/>
      <c r="H69" s="15"/>
    </row>
    <row r="70" spans="1:8" ht="15.75" x14ac:dyDescent="0.25">
      <c r="A70" s="10" t="str">
        <f t="shared" si="0"/>
        <v/>
      </c>
      <c r="B70" s="11" t="str">
        <f>IF(Definitions!$W$2,IF($G$33 &gt; ROW()-ROW($A$31),$B69+$G$41,""),"")</f>
        <v/>
      </c>
      <c r="C70" s="11" t="str">
        <f>IF(AND($G$33 &gt; ROW()-ROW($A$31),Definitions!$Y$2),$C69+$G$48,"")</f>
        <v/>
      </c>
      <c r="D70" s="11" t="str">
        <f t="shared" si="3"/>
        <v/>
      </c>
      <c r="E70" s="11" t="str">
        <f t="shared" si="4"/>
        <v/>
      </c>
      <c r="F70" s="76"/>
      <c r="G70" s="15"/>
      <c r="H70" s="15"/>
    </row>
    <row r="71" spans="1:8" ht="15.75" x14ac:dyDescent="0.25">
      <c r="A71" s="10" t="str">
        <f t="shared" si="0"/>
        <v/>
      </c>
      <c r="B71" s="11" t="str">
        <f>IF(Definitions!$W$2,IF($G$33 &gt; ROW()-ROW($A$31),$B70+$G$41,""),"")</f>
        <v/>
      </c>
      <c r="C71" s="11" t="str">
        <f>IF(AND($G$33 &gt; ROW()-ROW($A$31),Definitions!$Y$2),$C70+$G$48,"")</f>
        <v/>
      </c>
      <c r="D71" s="11" t="str">
        <f t="shared" si="3"/>
        <v/>
      </c>
      <c r="E71" s="11" t="str">
        <f t="shared" si="4"/>
        <v/>
      </c>
      <c r="F71" s="76"/>
    </row>
    <row r="72" spans="1:8" ht="15.75" x14ac:dyDescent="0.25">
      <c r="A72" s="10" t="str">
        <f t="shared" si="0"/>
        <v/>
      </c>
      <c r="B72" s="11" t="str">
        <f>IF(Definitions!$W$2,IF($G$33 &gt; ROW()-ROW($A$31),$B71+$G$41,""),"")</f>
        <v/>
      </c>
      <c r="C72" s="11" t="str">
        <f>IF(AND($G$33 &gt; ROW()-ROW($A$31),Definitions!$Y$2),$C71+$G$48,"")</f>
        <v/>
      </c>
      <c r="D72" s="11" t="str">
        <f t="shared" si="3"/>
        <v/>
      </c>
      <c r="E72" s="11" t="str">
        <f t="shared" si="4"/>
        <v/>
      </c>
      <c r="F72" s="76"/>
    </row>
    <row r="73" spans="1:8" ht="15.75" x14ac:dyDescent="0.25">
      <c r="A73" s="10" t="str">
        <f t="shared" si="0"/>
        <v/>
      </c>
      <c r="B73" s="11" t="str">
        <f>IF(Definitions!$W$2,IF($G$33 &gt; ROW()-ROW($A$31),$B72+$G$41,""),"")</f>
        <v/>
      </c>
      <c r="C73" s="11" t="str">
        <f>IF(AND($G$33 &gt; ROW()-ROW($A$31),Definitions!$Y$2),$C72+$G$48,"")</f>
        <v/>
      </c>
      <c r="D73" s="11" t="str">
        <f t="shared" si="3"/>
        <v/>
      </c>
      <c r="E73" s="11" t="str">
        <f t="shared" si="4"/>
        <v/>
      </c>
      <c r="F73" s="76"/>
    </row>
    <row r="74" spans="1:8" ht="15.75" x14ac:dyDescent="0.25">
      <c r="A74" s="10" t="str">
        <f t="shared" si="0"/>
        <v/>
      </c>
      <c r="B74" s="11" t="str">
        <f>IF(Definitions!$W$2,IF($G$33 &gt; ROW()-ROW($A$31),$B73+$G$41,""),"")</f>
        <v/>
      </c>
      <c r="C74" s="11" t="str">
        <f>IF(AND($G$33 &gt; ROW()-ROW($A$31),Definitions!$Y$2),$C73+$G$48,"")</f>
        <v/>
      </c>
      <c r="D74" s="11" t="str">
        <f t="shared" si="3"/>
        <v/>
      </c>
      <c r="E74" s="11" t="str">
        <f t="shared" si="4"/>
        <v/>
      </c>
      <c r="F74" s="76"/>
    </row>
    <row r="75" spans="1:8" ht="15.75" x14ac:dyDescent="0.25">
      <c r="A75" s="10" t="str">
        <f t="shared" si="0"/>
        <v/>
      </c>
      <c r="B75" s="11" t="str">
        <f>IF(Definitions!$W$2,IF($G$33 &gt; ROW()-ROW($A$31),$B74+$G$41,""),"")</f>
        <v/>
      </c>
      <c r="C75" s="11" t="str">
        <f>IF(AND($G$33 &gt; ROW()-ROW($A$31),Definitions!$Y$2),$C74+$G$48,"")</f>
        <v/>
      </c>
      <c r="D75" s="11" t="str">
        <f t="shared" si="3"/>
        <v/>
      </c>
      <c r="E75" s="11" t="str">
        <f t="shared" si="4"/>
        <v/>
      </c>
      <c r="F75" s="76"/>
    </row>
    <row r="76" spans="1:8" ht="15.75" x14ac:dyDescent="0.25">
      <c r="A76" s="10" t="str">
        <f t="shared" si="0"/>
        <v/>
      </c>
      <c r="B76" s="11" t="str">
        <f>IF(Definitions!$W$2,IF($G$33 &gt; ROW()-ROW($A$31),$B75+$G$41,""),"")</f>
        <v/>
      </c>
      <c r="C76" s="11" t="str">
        <f>IF(AND($G$33 &gt; ROW()-ROW($A$31),Definitions!$Y$2),$C75+$G$48,"")</f>
        <v/>
      </c>
      <c r="D76" s="11" t="str">
        <f t="shared" si="3"/>
        <v/>
      </c>
      <c r="E76" s="11" t="str">
        <f t="shared" si="4"/>
        <v/>
      </c>
      <c r="F76" s="76"/>
    </row>
    <row r="77" spans="1:8" ht="15.75" x14ac:dyDescent="0.25">
      <c r="A77" s="10" t="str">
        <f t="shared" si="0"/>
        <v/>
      </c>
      <c r="B77" s="11" t="str">
        <f>IF(Definitions!$W$2,IF($G$33 &gt; ROW()-ROW($A$31),$B76+$G$41,""),"")</f>
        <v/>
      </c>
      <c r="C77" s="11" t="str">
        <f>IF(AND($G$33 &gt; ROW()-ROW($A$31),Definitions!$Y$2),$C76+$G$48,"")</f>
        <v/>
      </c>
      <c r="D77" s="11" t="str">
        <f t="shared" si="3"/>
        <v/>
      </c>
      <c r="E77" s="11" t="str">
        <f t="shared" si="4"/>
        <v/>
      </c>
      <c r="F77" s="76"/>
    </row>
    <row r="78" spans="1:8" ht="15.75" x14ac:dyDescent="0.25">
      <c r="A78" s="10" t="str">
        <f t="shared" si="0"/>
        <v/>
      </c>
      <c r="B78" s="11" t="str">
        <f>IF(Definitions!$W$2,IF($G$33 &gt; ROW()-ROW($A$31),$B77+$G$41,""),"")</f>
        <v/>
      </c>
      <c r="C78" s="11" t="str">
        <f>IF(AND($G$33 &gt; ROW()-ROW($A$31),Definitions!$Y$2),$C77+$G$48,"")</f>
        <v/>
      </c>
      <c r="D78" s="11" t="str">
        <f t="shared" si="3"/>
        <v/>
      </c>
      <c r="E78" s="11" t="str">
        <f t="shared" si="4"/>
        <v/>
      </c>
      <c r="F78" s="76"/>
    </row>
    <row r="79" spans="1:8" ht="15.75" x14ac:dyDescent="0.25">
      <c r="A79" s="10" t="str">
        <f t="shared" si="0"/>
        <v/>
      </c>
      <c r="B79" s="11" t="str">
        <f>IF(Definitions!$W$2,IF($G$33 &gt; ROW()-ROW($A$31),$B78+$G$41,""),"")</f>
        <v/>
      </c>
      <c r="C79" s="11" t="str">
        <f>IF(AND($G$33 &gt; ROW()-ROW($A$31),Definitions!$Y$2),$C78+$G$48,"")</f>
        <v/>
      </c>
      <c r="D79" s="11" t="str">
        <f t="shared" si="3"/>
        <v/>
      </c>
      <c r="E79" s="11" t="str">
        <f t="shared" si="4"/>
        <v/>
      </c>
      <c r="F79" s="76"/>
    </row>
    <row r="80" spans="1:8" ht="15.75" x14ac:dyDescent="0.25">
      <c r="A80" s="10" t="str">
        <f t="shared" si="0"/>
        <v/>
      </c>
      <c r="B80" s="11" t="str">
        <f>IF(Definitions!$W$2,IF($G$33 &gt; ROW()-ROW($A$31),$B79+$G$41,""),"")</f>
        <v/>
      </c>
      <c r="C80" s="11" t="str">
        <f>IF(AND($G$33 &gt; ROW()-ROW($A$31),Definitions!$Y$2),$C79+$G$48,"")</f>
        <v/>
      </c>
      <c r="D80" s="11" t="str">
        <f t="shared" si="3"/>
        <v/>
      </c>
      <c r="E80" s="11" t="str">
        <f t="shared" si="4"/>
        <v/>
      </c>
      <c r="F80" s="76"/>
    </row>
    <row r="81" spans="1:6" ht="15.75" x14ac:dyDescent="0.25">
      <c r="A81" s="10" t="str">
        <f t="shared" si="0"/>
        <v/>
      </c>
      <c r="B81" s="11" t="str">
        <f>IF(Definitions!$W$2,IF($G$33 &gt; ROW()-ROW($A$31),$B80+$G$41,""),"")</f>
        <v/>
      </c>
      <c r="C81" s="11" t="str">
        <f>IF(AND($G$33 &gt; ROW()-ROW($A$31),Definitions!$Y$2),$C80+$G$48,"")</f>
        <v/>
      </c>
      <c r="D81" s="11" t="str">
        <f t="shared" si="3"/>
        <v/>
      </c>
      <c r="E81" s="11" t="str">
        <f t="shared" si="4"/>
        <v/>
      </c>
      <c r="F81" s="76"/>
    </row>
    <row r="82" spans="1:6" ht="15.75" x14ac:dyDescent="0.25">
      <c r="A82" s="10" t="str">
        <f t="shared" si="0"/>
        <v/>
      </c>
      <c r="B82" s="11" t="str">
        <f>IF(Definitions!$W$2,IF($G$33 &gt; ROW()-ROW($A$31),$B81+$G$41,""),"")</f>
        <v/>
      </c>
      <c r="C82" s="11" t="str">
        <f>IF(AND($G$33 &gt; ROW()-ROW($A$31),Definitions!$Y$2),$C81+$G$48,"")</f>
        <v/>
      </c>
      <c r="D82" s="11" t="str">
        <f t="shared" si="3"/>
        <v/>
      </c>
      <c r="E82" s="11" t="str">
        <f t="shared" si="4"/>
        <v/>
      </c>
      <c r="F82" s="76"/>
    </row>
    <row r="83" spans="1:6" ht="15.75" x14ac:dyDescent="0.25">
      <c r="A83" s="10" t="str">
        <f t="shared" si="0"/>
        <v/>
      </c>
      <c r="B83" s="11" t="str">
        <f>IF(Definitions!$W$2,IF($G$33 &gt; ROW()-ROW($A$31),$B82+$G$41,""),"")</f>
        <v/>
      </c>
      <c r="C83" s="11" t="str">
        <f>IF(AND($G$33 &gt; ROW()-ROW($A$31),Definitions!$Y$2),$C82+$G$48,"")</f>
        <v/>
      </c>
      <c r="D83" s="11" t="str">
        <f t="shared" si="3"/>
        <v/>
      </c>
      <c r="E83" s="11" t="str">
        <f t="shared" si="4"/>
        <v/>
      </c>
      <c r="F83" s="76"/>
    </row>
    <row r="84" spans="1:6" ht="15.75" x14ac:dyDescent="0.25">
      <c r="A84" s="10" t="str">
        <f t="shared" si="0"/>
        <v/>
      </c>
      <c r="B84" s="11" t="str">
        <f>IF(Definitions!$W$2,IF($G$33 &gt; ROW()-ROW($A$31),$B83+$G$41,""),"")</f>
        <v/>
      </c>
      <c r="C84" s="11" t="str">
        <f>IF(AND($G$33 &gt; ROW()-ROW($A$31),Definitions!$Y$2),$C83+$G$48,"")</f>
        <v/>
      </c>
      <c r="D84" s="11" t="str">
        <f t="shared" si="3"/>
        <v/>
      </c>
      <c r="E84" s="11" t="str">
        <f t="shared" si="4"/>
        <v/>
      </c>
      <c r="F84" s="76"/>
    </row>
    <row r="85" spans="1:6" ht="15.75" x14ac:dyDescent="0.25">
      <c r="A85" s="10" t="str">
        <f t="shared" si="0"/>
        <v/>
      </c>
      <c r="B85" s="11" t="str">
        <f>IF(Definitions!$W$2,IF($G$33 &gt; ROW()-ROW($A$31),$B84+$G$41,""),"")</f>
        <v/>
      </c>
      <c r="C85" s="11" t="str">
        <f>IF(AND($G$33 &gt; ROW()-ROW($A$31),Definitions!$Y$2),$C84+$G$48,"")</f>
        <v/>
      </c>
      <c r="D85" s="11" t="str">
        <f t="shared" si="3"/>
        <v/>
      </c>
      <c r="E85" s="11" t="str">
        <f t="shared" si="4"/>
        <v/>
      </c>
      <c r="F85" s="76"/>
    </row>
    <row r="86" spans="1:6" ht="15.75" x14ac:dyDescent="0.25">
      <c r="A86" s="10" t="str">
        <f t="shared" si="0"/>
        <v/>
      </c>
      <c r="B86" s="11" t="str">
        <f>IF(Definitions!$W$2,IF($G$33 &gt; ROW()-ROW($A$31),$B85+$G$41,""),"")</f>
        <v/>
      </c>
      <c r="C86" s="11" t="str">
        <f>IF(AND($G$33 &gt; ROW()-ROW($A$31),Definitions!$Y$2),$C85+$G$48,"")</f>
        <v/>
      </c>
      <c r="D86" s="11" t="str">
        <f t="shared" si="3"/>
        <v/>
      </c>
      <c r="E86" s="11" t="str">
        <f t="shared" si="4"/>
        <v/>
      </c>
      <c r="F86" s="76"/>
    </row>
    <row r="87" spans="1:6" ht="15.75" x14ac:dyDescent="0.25">
      <c r="A87" s="10" t="str">
        <f t="shared" si="0"/>
        <v/>
      </c>
      <c r="B87" s="11" t="str">
        <f>IF(Definitions!$W$2,IF($G$33 &gt; ROW()-ROW($A$31),$B86+$G$41,""),"")</f>
        <v/>
      </c>
      <c r="C87" s="11" t="str">
        <f>IF(AND($G$33 &gt; ROW()-ROW($A$31),Definitions!$Y$2),$C86+$G$48,"")</f>
        <v/>
      </c>
      <c r="D87" s="11" t="str">
        <f t="shared" si="3"/>
        <v/>
      </c>
      <c r="E87" s="11" t="str">
        <f t="shared" si="4"/>
        <v/>
      </c>
      <c r="F87" s="76"/>
    </row>
    <row r="88" spans="1:6" ht="15.75" x14ac:dyDescent="0.25">
      <c r="A88" s="10" t="str">
        <f t="shared" si="0"/>
        <v/>
      </c>
      <c r="B88" s="11" t="str">
        <f>IF(Definitions!$W$2,IF($G$33 &gt; ROW()-ROW($A$31),$B87+$G$41,""),"")</f>
        <v/>
      </c>
      <c r="C88" s="11" t="str">
        <f>IF(AND($G$33 &gt; ROW()-ROW($A$31),Definitions!$Y$2),$C87+$G$48,"")</f>
        <v/>
      </c>
      <c r="D88" s="11" t="str">
        <f t="shared" si="3"/>
        <v/>
      </c>
      <c r="E88" s="11" t="str">
        <f t="shared" si="4"/>
        <v/>
      </c>
      <c r="F88" s="76"/>
    </row>
    <row r="89" spans="1:6" ht="15.75" x14ac:dyDescent="0.25">
      <c r="A89" s="10" t="str">
        <f t="shared" si="0"/>
        <v/>
      </c>
      <c r="B89" s="11" t="str">
        <f>IF(Definitions!$W$2,IF($G$33 &gt; ROW()-ROW($A$31),$B88+$G$41,""),"")</f>
        <v/>
      </c>
      <c r="C89" s="11" t="str">
        <f>IF(AND($G$33 &gt; ROW()-ROW($A$31),Definitions!$Y$2),$C88+$G$48,"")</f>
        <v/>
      </c>
      <c r="D89" s="11" t="str">
        <f t="shared" si="3"/>
        <v/>
      </c>
      <c r="E89" s="11" t="str">
        <f t="shared" si="4"/>
        <v/>
      </c>
      <c r="F89" s="76"/>
    </row>
    <row r="90" spans="1:6" ht="15.75" x14ac:dyDescent="0.25">
      <c r="A90" s="10" t="str">
        <f t="shared" si="0"/>
        <v/>
      </c>
      <c r="B90" s="11" t="str">
        <f>IF(Definitions!$W$2,IF($G$33 &gt; ROW()-ROW($A$31),$B89+$G$41,""),"")</f>
        <v/>
      </c>
      <c r="C90" s="11" t="str">
        <f>IF(AND($G$33 &gt; ROW()-ROW($A$31),Definitions!$Y$2),$C89+$G$48,"")</f>
        <v/>
      </c>
      <c r="D90" s="11" t="str">
        <f t="shared" si="3"/>
        <v/>
      </c>
      <c r="E90" s="11" t="str">
        <f t="shared" si="4"/>
        <v/>
      </c>
      <c r="F90" s="76"/>
    </row>
    <row r="91" spans="1:6" ht="15.75" x14ac:dyDescent="0.25">
      <c r="A91" s="10" t="str">
        <f t="shared" si="0"/>
        <v/>
      </c>
      <c r="B91" s="11" t="str">
        <f>IF(Definitions!$W$2,IF($G$33 &gt; ROW()-ROW($A$31),$B90+$G$41,""),"")</f>
        <v/>
      </c>
      <c r="C91" s="11" t="str">
        <f>IF(AND($G$33 &gt; ROW()-ROW($A$31),Definitions!$Y$2),$C90+$G$48,"")</f>
        <v/>
      </c>
      <c r="D91" s="11" t="str">
        <f t="shared" si="3"/>
        <v/>
      </c>
      <c r="E91" s="11" t="str">
        <f t="shared" si="4"/>
        <v/>
      </c>
      <c r="F91" s="76"/>
    </row>
    <row r="92" spans="1:6" ht="15.75" x14ac:dyDescent="0.25">
      <c r="A92" s="10" t="str">
        <f t="shared" si="0"/>
        <v/>
      </c>
      <c r="B92" s="11" t="str">
        <f>IF(Definitions!$W$2,IF($G$33 &gt; ROW()-ROW($A$31),$B91+$G$41,""),"")</f>
        <v/>
      </c>
      <c r="C92" s="11" t="str">
        <f>IF(AND($G$33 &gt; ROW()-ROW($A$31),Definitions!$Y$2),$C91+$G$48,"")</f>
        <v/>
      </c>
      <c r="D92" s="11" t="str">
        <f t="shared" si="3"/>
        <v/>
      </c>
      <c r="E92" s="11" t="str">
        <f t="shared" si="4"/>
        <v/>
      </c>
      <c r="F92" s="76"/>
    </row>
    <row r="93" spans="1:6" ht="15.75" x14ac:dyDescent="0.25">
      <c r="A93" s="10" t="str">
        <f t="shared" si="0"/>
        <v/>
      </c>
      <c r="B93" s="11" t="str">
        <f>IF(Definitions!$W$2,IF($G$33 &gt; ROW()-ROW($A$31),$B92+$G$41,""),"")</f>
        <v/>
      </c>
      <c r="C93" s="11" t="str">
        <f>IF(AND($G$33 &gt; ROW()-ROW($A$31),Definitions!$Y$2),$C92+$G$48,"")</f>
        <v/>
      </c>
      <c r="D93" s="11" t="str">
        <f t="shared" si="3"/>
        <v/>
      </c>
      <c r="E93" s="11" t="str">
        <f t="shared" si="4"/>
        <v/>
      </c>
      <c r="F93" s="76"/>
    </row>
    <row r="94" spans="1:6" ht="15.75" x14ac:dyDescent="0.25">
      <c r="A94" s="10" t="str">
        <f t="shared" si="0"/>
        <v/>
      </c>
      <c r="B94" s="11" t="str">
        <f>IF(Definitions!$W$2,IF($G$33 &gt; ROW()-ROW($A$31),$B93+$G$41,""),"")</f>
        <v/>
      </c>
      <c r="C94" s="11" t="str">
        <f>IF(AND($G$33 &gt; ROW()-ROW($A$31),Definitions!$Y$2),$C93+$G$48,"")</f>
        <v/>
      </c>
      <c r="D94" s="11" t="str">
        <f t="shared" si="3"/>
        <v/>
      </c>
      <c r="E94" s="11" t="str">
        <f t="shared" si="4"/>
        <v/>
      </c>
      <c r="F94" s="76"/>
    </row>
    <row r="95" spans="1:6" ht="15.75" x14ac:dyDescent="0.25">
      <c r="A95" s="10" t="str">
        <f t="shared" ref="A95:A158" si="5">IF($G$33 &gt; ROW()-ROW($A$31),CONCATENATE("FBG",ROW()-ROW($A$30)),"")</f>
        <v/>
      </c>
      <c r="B95" s="11" t="str">
        <f>IF(Definitions!$W$2,IF($G$33 &gt; ROW()-ROW($A$31),$B94+$G$41,""),"")</f>
        <v/>
      </c>
      <c r="C95" s="11" t="str">
        <f>IF(AND($G$33 &gt; ROW()-ROW($A$31),Definitions!$Y$2),$C94+$G$48,"")</f>
        <v/>
      </c>
      <c r="D95" s="11" t="str">
        <f t="shared" si="3"/>
        <v/>
      </c>
      <c r="E95" s="11" t="str">
        <f t="shared" si="4"/>
        <v/>
      </c>
      <c r="F95" s="76"/>
    </row>
    <row r="96" spans="1:6" ht="15.75" x14ac:dyDescent="0.25">
      <c r="A96" s="10" t="str">
        <f t="shared" si="5"/>
        <v/>
      </c>
      <c r="B96" s="11" t="str">
        <f>IF(Definitions!$W$2,IF($G$33 &gt; ROW()-ROW($A$31),$B95+$G$41,""),"")</f>
        <v/>
      </c>
      <c r="C96" s="11" t="str">
        <f>IF(AND($G$33 &gt; ROW()-ROW($A$31),Definitions!$Y$2),$C95+$G$48,"")</f>
        <v/>
      </c>
      <c r="D96" s="11" t="str">
        <f t="shared" si="3"/>
        <v/>
      </c>
      <c r="E96" s="11" t="str">
        <f t="shared" si="4"/>
        <v/>
      </c>
      <c r="F96" s="76"/>
    </row>
    <row r="97" spans="1:6" ht="15.75" x14ac:dyDescent="0.25">
      <c r="A97" s="10" t="str">
        <f t="shared" si="5"/>
        <v/>
      </c>
      <c r="B97" s="11" t="str">
        <f>IF(Definitions!$W$2,IF($G$33 &gt; ROW()-ROW($A$31),$B96+$G$41,""),"")</f>
        <v/>
      </c>
      <c r="C97" s="11" t="str">
        <f>IF(AND($G$33 &gt; ROW()-ROW($A$31),Definitions!$Y$2),$C96+$G$48,"")</f>
        <v/>
      </c>
      <c r="D97" s="11" t="str">
        <f t="shared" si="3"/>
        <v/>
      </c>
      <c r="E97" s="11" t="str">
        <f t="shared" si="4"/>
        <v/>
      </c>
      <c r="F97" s="76"/>
    </row>
    <row r="98" spans="1:6" ht="15.75" x14ac:dyDescent="0.25">
      <c r="A98" s="10" t="str">
        <f t="shared" si="5"/>
        <v/>
      </c>
      <c r="B98" s="11" t="str">
        <f>IF(Definitions!$W$2,IF($G$33 &gt; ROW()-ROW($A$31),$B97+$G$41,""),"")</f>
        <v/>
      </c>
      <c r="C98" s="11" t="str">
        <f>IF(AND($G$33 &gt; ROW()-ROW($A$31),Definitions!$Y$2),$C97+$G$48,"")</f>
        <v/>
      </c>
      <c r="D98" s="11" t="str">
        <f t="shared" si="3"/>
        <v/>
      </c>
      <c r="E98" s="11" t="str">
        <f t="shared" si="4"/>
        <v/>
      </c>
      <c r="F98" s="76"/>
    </row>
    <row r="99" spans="1:6" ht="15.75" x14ac:dyDescent="0.25">
      <c r="A99" s="10" t="str">
        <f t="shared" si="5"/>
        <v/>
      </c>
      <c r="B99" s="11" t="str">
        <f>IF(Definitions!$W$2,IF($G$33 &gt; ROW()-ROW($A$31),$B98+$G$41,""),"")</f>
        <v/>
      </c>
      <c r="C99" s="11" t="str">
        <f>IF(AND($G$33 &gt; ROW()-ROW($A$31),Definitions!$Y$2),$C98+$G$48,"")</f>
        <v/>
      </c>
      <c r="D99" s="11" t="str">
        <f t="shared" si="3"/>
        <v/>
      </c>
      <c r="E99" s="11" t="str">
        <f t="shared" si="4"/>
        <v/>
      </c>
      <c r="F99" s="76"/>
    </row>
    <row r="100" spans="1:6" ht="15.75" x14ac:dyDescent="0.25">
      <c r="A100" s="10" t="str">
        <f t="shared" si="5"/>
        <v/>
      </c>
      <c r="B100" s="11" t="str">
        <f>IF(Definitions!$W$2,IF($G$33 &gt; ROW()-ROW($A$31),$B99+$G$41,""),"")</f>
        <v/>
      </c>
      <c r="C100" s="11" t="str">
        <f>IF(AND($G$33 &gt; ROW()-ROW($A$31),Definitions!$Y$2),$C99+$G$48,"")</f>
        <v/>
      </c>
      <c r="D100" s="11" t="str">
        <f t="shared" si="3"/>
        <v/>
      </c>
      <c r="E100" s="11" t="str">
        <f t="shared" si="4"/>
        <v/>
      </c>
      <c r="F100" s="76"/>
    </row>
    <row r="101" spans="1:6" ht="15.75" x14ac:dyDescent="0.25">
      <c r="A101" s="10" t="str">
        <f t="shared" si="5"/>
        <v/>
      </c>
      <c r="B101" s="11" t="str">
        <f>IF(Definitions!$W$2,IF($G$33 &gt; ROW()-ROW($A$31),$B100+$G$41,""),"")</f>
        <v/>
      </c>
      <c r="C101" s="11" t="str">
        <f>IF(AND($G$33 &gt; ROW()-ROW($A$31),Definitions!$Y$2),$C100+$G$48,"")</f>
        <v/>
      </c>
      <c r="D101" s="11" t="str">
        <f t="shared" si="3"/>
        <v/>
      </c>
      <c r="E101" s="11" t="str">
        <f t="shared" si="4"/>
        <v/>
      </c>
      <c r="F101" s="76"/>
    </row>
    <row r="102" spans="1:6" ht="15.75" x14ac:dyDescent="0.25">
      <c r="A102" s="10" t="str">
        <f t="shared" si="5"/>
        <v/>
      </c>
      <c r="B102" s="11" t="str">
        <f>IF(Definitions!$W$2,IF($G$33 &gt; ROW()-ROW($A$31),$B101+$G$41,""),"")</f>
        <v/>
      </c>
      <c r="C102" s="11" t="str">
        <f>IF(AND($G$33 &gt; ROW()-ROW($A$31),Definitions!$Y$2),$C101+$G$48,"")</f>
        <v/>
      </c>
      <c r="D102" s="11" t="str">
        <f t="shared" si="3"/>
        <v/>
      </c>
      <c r="E102" s="11" t="str">
        <f t="shared" si="4"/>
        <v/>
      </c>
      <c r="F102" s="76"/>
    </row>
    <row r="103" spans="1:6" ht="15.75" x14ac:dyDescent="0.25">
      <c r="A103" s="10" t="str">
        <f t="shared" si="5"/>
        <v/>
      </c>
      <c r="B103" s="11" t="str">
        <f>IF(Definitions!$W$2,IF($G$33 &gt; ROW()-ROW($A$31),$B102+$G$41,""),"")</f>
        <v/>
      </c>
      <c r="C103" s="11" t="str">
        <f>IF(AND($G$33 &gt; ROW()-ROW($A$31),Definitions!$Y$2),$C102+$G$48,"")</f>
        <v/>
      </c>
      <c r="D103" s="11" t="str">
        <f t="shared" si="3"/>
        <v/>
      </c>
      <c r="E103" s="11" t="str">
        <f t="shared" si="4"/>
        <v/>
      </c>
      <c r="F103" s="76"/>
    </row>
    <row r="104" spans="1:6" ht="15.75" x14ac:dyDescent="0.25">
      <c r="A104" s="10" t="str">
        <f t="shared" si="5"/>
        <v/>
      </c>
      <c r="B104" s="11" t="str">
        <f>IF(Definitions!$W$2,IF($G$33 &gt; ROW()-ROW($A$31),$B103+$G$41,""),"")</f>
        <v/>
      </c>
      <c r="C104" s="11" t="str">
        <f>IF(AND($G$33 &gt; ROW()-ROW($A$31),Definitions!$Y$2),$C103+$G$48,"")</f>
        <v/>
      </c>
      <c r="D104" s="11" t="str">
        <f t="shared" si="3"/>
        <v/>
      </c>
      <c r="E104" s="11" t="str">
        <f t="shared" si="4"/>
        <v/>
      </c>
      <c r="F104" s="76"/>
    </row>
    <row r="105" spans="1:6" ht="15.75" x14ac:dyDescent="0.25">
      <c r="A105" s="10" t="str">
        <f t="shared" si="5"/>
        <v/>
      </c>
      <c r="B105" s="11" t="str">
        <f>IF(Definitions!$W$2,IF($G$33 &gt; ROW()-ROW($A$31),$B104+$G$41,""),"")</f>
        <v/>
      </c>
      <c r="C105" s="11" t="str">
        <f>IF(AND($G$33 &gt; ROW()-ROW($A$31),Definitions!$Y$2),$C104+$G$48,"")</f>
        <v/>
      </c>
      <c r="D105" s="11" t="str">
        <f t="shared" si="3"/>
        <v/>
      </c>
      <c r="E105" s="11" t="str">
        <f t="shared" si="4"/>
        <v/>
      </c>
      <c r="F105" s="76"/>
    </row>
    <row r="106" spans="1:6" ht="15.75" x14ac:dyDescent="0.25">
      <c r="A106" s="10" t="str">
        <f t="shared" si="5"/>
        <v/>
      </c>
      <c r="B106" s="11" t="str">
        <f>IF(Definitions!$W$2,IF($G$33 &gt; ROW()-ROW($A$31),$B105+$G$41,""),"")</f>
        <v/>
      </c>
      <c r="C106" s="11" t="str">
        <f>IF(AND($G$33 &gt; ROW()-ROW($A$31),Definitions!$Y$2),$C105+$G$48,"")</f>
        <v/>
      </c>
      <c r="D106" s="11" t="str">
        <f t="shared" si="3"/>
        <v/>
      </c>
      <c r="E106" s="11" t="str">
        <f t="shared" si="4"/>
        <v/>
      </c>
      <c r="F106" s="76"/>
    </row>
    <row r="107" spans="1:6" ht="15.75" x14ac:dyDescent="0.25">
      <c r="A107" s="10" t="str">
        <f t="shared" si="5"/>
        <v/>
      </c>
      <c r="B107" s="11" t="str">
        <f>IF(Definitions!$W$2,IF($G$33 &gt; ROW()-ROW($A$31),$B106+$G$41,""),"")</f>
        <v/>
      </c>
      <c r="C107" s="11" t="str">
        <f>IF(AND($G$33 &gt; ROW()-ROW($A$31),Definitions!$Y$2),$C106+$G$48,"")</f>
        <v/>
      </c>
      <c r="D107" s="11" t="str">
        <f t="shared" si="3"/>
        <v/>
      </c>
      <c r="E107" s="11" t="str">
        <f t="shared" si="4"/>
        <v/>
      </c>
      <c r="F107" s="76"/>
    </row>
    <row r="108" spans="1:6" ht="15.75" x14ac:dyDescent="0.25">
      <c r="A108" s="10" t="str">
        <f t="shared" si="5"/>
        <v/>
      </c>
      <c r="B108" s="11" t="str">
        <f>IF(Definitions!$W$2,IF($G$33 &gt; ROW()-ROW($A$31),$B107+$G$41,""),"")</f>
        <v/>
      </c>
      <c r="C108" s="11" t="str">
        <f>IF(AND($G$33 &gt; ROW()-ROW($A$31),Definitions!$Y$2),$C107+$G$48,"")</f>
        <v/>
      </c>
      <c r="D108" s="11" t="str">
        <f t="shared" si="3"/>
        <v/>
      </c>
      <c r="E108" s="11" t="str">
        <f t="shared" si="4"/>
        <v/>
      </c>
      <c r="F108" s="76"/>
    </row>
    <row r="109" spans="1:6" ht="15.75" x14ac:dyDescent="0.25">
      <c r="A109" s="10" t="str">
        <f t="shared" si="5"/>
        <v/>
      </c>
      <c r="B109" s="11" t="str">
        <f>IF(Definitions!$W$2,IF($G$33 &gt; ROW()-ROW($A$31),$B108+$G$41,""),"")</f>
        <v/>
      </c>
      <c r="C109" s="11" t="str">
        <f>IF(AND($G$33 &gt; ROW()-ROW($A$31),Definitions!$Y$2),$C108+$G$48,"")</f>
        <v/>
      </c>
      <c r="D109" s="11" t="str">
        <f t="shared" si="3"/>
        <v/>
      </c>
      <c r="E109" s="11" t="str">
        <f t="shared" si="4"/>
        <v/>
      </c>
      <c r="F109" s="76"/>
    </row>
    <row r="110" spans="1:6" ht="15.75" x14ac:dyDescent="0.25">
      <c r="A110" s="10" t="str">
        <f t="shared" si="5"/>
        <v/>
      </c>
      <c r="B110" s="11" t="str">
        <f>IF(Definitions!$W$2,IF($G$33 &gt; ROW()-ROW($A$31),$B109+$G$41,""),"")</f>
        <v/>
      </c>
      <c r="C110" s="11" t="str">
        <f>IF(AND($G$33 &gt; ROW()-ROW($A$31),Definitions!$Y$2),$C109+$G$48,"")</f>
        <v/>
      </c>
      <c r="D110" s="11" t="str">
        <f t="shared" si="3"/>
        <v/>
      </c>
      <c r="E110" s="11" t="str">
        <f t="shared" si="4"/>
        <v/>
      </c>
      <c r="F110" s="76"/>
    </row>
    <row r="111" spans="1:6" ht="15.75" x14ac:dyDescent="0.25">
      <c r="A111" s="10" t="str">
        <f t="shared" si="5"/>
        <v/>
      </c>
      <c r="B111" s="11" t="str">
        <f>IF(Definitions!$W$2,IF($G$33 &gt; ROW()-ROW($A$31),$B110+$G$41,""),"")</f>
        <v/>
      </c>
      <c r="C111" s="11" t="str">
        <f>IF(AND($G$33 &gt; ROW()-ROW($A$31),Definitions!$Y$2),$C110+$G$48,"")</f>
        <v/>
      </c>
      <c r="D111" s="11" t="str">
        <f t="shared" si="3"/>
        <v/>
      </c>
      <c r="E111" s="11" t="str">
        <f t="shared" si="4"/>
        <v/>
      </c>
      <c r="F111" s="76"/>
    </row>
    <row r="112" spans="1:6" ht="15.75" x14ac:dyDescent="0.25">
      <c r="A112" s="10" t="str">
        <f t="shared" si="5"/>
        <v/>
      </c>
      <c r="B112" s="11" t="str">
        <f>IF(Definitions!$W$2,IF($G$33 &gt; ROW()-ROW($A$31),$B111+$G$41,""),"")</f>
        <v/>
      </c>
      <c r="C112" s="11" t="str">
        <f>IF(AND($G$33 &gt; ROW()-ROW($A$31),Definitions!$Y$2),$C111+$G$48,"")</f>
        <v/>
      </c>
      <c r="D112" s="11" t="str">
        <f t="shared" si="3"/>
        <v/>
      </c>
      <c r="E112" s="11" t="str">
        <f t="shared" si="4"/>
        <v/>
      </c>
      <c r="F112" s="76"/>
    </row>
    <row r="113" spans="1:6" ht="15.75" x14ac:dyDescent="0.25">
      <c r="A113" s="10" t="str">
        <f t="shared" si="5"/>
        <v/>
      </c>
      <c r="B113" s="11" t="str">
        <f>IF(Definitions!$W$2,IF($G$33 &gt; ROW()-ROW($A$31),$B112+$G$41,""),"")</f>
        <v/>
      </c>
      <c r="C113" s="11" t="str">
        <f>IF(AND($G$33 &gt; ROW()-ROW($A$31),Definitions!$Y$2),$C112+$G$48,"")</f>
        <v/>
      </c>
      <c r="D113" s="11" t="str">
        <f t="shared" si="3"/>
        <v/>
      </c>
      <c r="E113" s="11" t="str">
        <f t="shared" si="4"/>
        <v/>
      </c>
      <c r="F113" s="76"/>
    </row>
    <row r="114" spans="1:6" ht="15.75" x14ac:dyDescent="0.25">
      <c r="A114" s="10" t="str">
        <f t="shared" si="5"/>
        <v/>
      </c>
      <c r="B114" s="11" t="str">
        <f>IF(Definitions!$W$2,IF($G$33 &gt; ROW()-ROW($A$31),$B113+$G$41,""),"")</f>
        <v/>
      </c>
      <c r="C114" s="11" t="str">
        <f>IF(AND($G$33 &gt; ROW()-ROW($A$31),Definitions!$Y$2),$C113+$G$48,"")</f>
        <v/>
      </c>
      <c r="D114" s="11" t="str">
        <f t="shared" si="3"/>
        <v/>
      </c>
      <c r="E114" s="11" t="str">
        <f t="shared" si="4"/>
        <v/>
      </c>
      <c r="F114" s="76"/>
    </row>
    <row r="115" spans="1:6" ht="15.75" x14ac:dyDescent="0.25">
      <c r="A115" s="10" t="str">
        <f t="shared" si="5"/>
        <v/>
      </c>
      <c r="B115" s="11" t="str">
        <f>IF(Definitions!$W$2,IF($G$33 &gt; ROW()-ROW($A$31),$B114+$G$41,""),"")</f>
        <v/>
      </c>
      <c r="C115" s="11" t="str">
        <f>IF(AND($G$33 &gt; ROW()-ROW($A$31),Definitions!$Y$2),$C114+$G$48,"")</f>
        <v/>
      </c>
      <c r="D115" s="11" t="str">
        <f t="shared" si="3"/>
        <v/>
      </c>
      <c r="E115" s="11" t="str">
        <f t="shared" si="4"/>
        <v/>
      </c>
      <c r="F115" s="76"/>
    </row>
    <row r="116" spans="1:6" ht="15.75" x14ac:dyDescent="0.25">
      <c r="A116" s="10" t="str">
        <f t="shared" si="5"/>
        <v/>
      </c>
      <c r="B116" s="11" t="str">
        <f>IF(Definitions!$W$2,IF($G$33 &gt; ROW()-ROW($A$31),$B115+$G$41,""),"")</f>
        <v/>
      </c>
      <c r="C116" s="11" t="str">
        <f>IF(AND($G$33 &gt; ROW()-ROW($A$31),Definitions!$Y$2),$C115+$G$48,"")</f>
        <v/>
      </c>
      <c r="D116" s="11" t="str">
        <f t="shared" si="3"/>
        <v/>
      </c>
      <c r="E116" s="11" t="str">
        <f t="shared" si="4"/>
        <v/>
      </c>
      <c r="F116" s="76"/>
    </row>
    <row r="117" spans="1:6" ht="15.75" x14ac:dyDescent="0.25">
      <c r="A117" s="10" t="str">
        <f t="shared" si="5"/>
        <v/>
      </c>
      <c r="B117" s="11" t="str">
        <f>IF(Definitions!$W$2,IF($G$33 &gt; ROW()-ROW($A$31),$B116+$G$41,""),"")</f>
        <v/>
      </c>
      <c r="C117" s="11" t="str">
        <f>IF(AND($G$33 &gt; ROW()-ROW($A$31),Definitions!$Y$2),$C116+$G$48,"")</f>
        <v/>
      </c>
      <c r="D117" s="11" t="str">
        <f t="shared" si="3"/>
        <v/>
      </c>
      <c r="E117" s="11" t="str">
        <f t="shared" si="4"/>
        <v/>
      </c>
      <c r="F117" s="76"/>
    </row>
    <row r="118" spans="1:6" ht="15.75" x14ac:dyDescent="0.25">
      <c r="A118" s="10" t="str">
        <f t="shared" si="5"/>
        <v/>
      </c>
      <c r="B118" s="11" t="str">
        <f>IF(Definitions!$W$2,IF($G$33 &gt; ROW()-ROW($A$31),$B117+$G$41,""),"")</f>
        <v/>
      </c>
      <c r="C118" s="11" t="str">
        <f>IF(AND($G$33 &gt; ROW()-ROW($A$31),Definitions!$Y$2),$C117+$G$48,"")</f>
        <v/>
      </c>
      <c r="D118" s="11" t="str">
        <f t="shared" si="3"/>
        <v/>
      </c>
      <c r="E118" s="11" t="str">
        <f t="shared" si="4"/>
        <v/>
      </c>
      <c r="F118" s="76"/>
    </row>
    <row r="119" spans="1:6" ht="15.75" x14ac:dyDescent="0.25">
      <c r="A119" s="10" t="str">
        <f t="shared" si="5"/>
        <v/>
      </c>
      <c r="B119" s="11" t="str">
        <f>IF(Definitions!$W$2,IF($G$33 &gt; ROW()-ROW($A$31),$B118+$G$41,""),"")</f>
        <v/>
      </c>
      <c r="C119" s="11" t="str">
        <f>IF(AND($G$33 &gt; ROW()-ROW($A$31),Definitions!$Y$2),$C118+$G$48,"")</f>
        <v/>
      </c>
      <c r="D119" s="11" t="str">
        <f t="shared" si="3"/>
        <v/>
      </c>
      <c r="E119" s="11" t="str">
        <f t="shared" si="4"/>
        <v/>
      </c>
      <c r="F119" s="76"/>
    </row>
    <row r="120" spans="1:6" ht="15.75" x14ac:dyDescent="0.25">
      <c r="A120" s="10" t="str">
        <f t="shared" si="5"/>
        <v/>
      </c>
      <c r="B120" s="11" t="str">
        <f>IF(Definitions!$W$2,IF($G$33 &gt; ROW()-ROW($A$31),$B119+$G$41,""),"")</f>
        <v/>
      </c>
      <c r="C120" s="11" t="str">
        <f>IF(AND($G$33 &gt; ROW()-ROW($A$31),Definitions!$Y$2),$C119+$G$48,"")</f>
        <v/>
      </c>
      <c r="D120" s="11" t="str">
        <f t="shared" si="3"/>
        <v/>
      </c>
      <c r="E120" s="11" t="str">
        <f t="shared" si="4"/>
        <v/>
      </c>
      <c r="F120" s="76"/>
    </row>
    <row r="121" spans="1:6" ht="15.75" x14ac:dyDescent="0.25">
      <c r="A121" s="10" t="str">
        <f t="shared" si="5"/>
        <v/>
      </c>
      <c r="B121" s="11" t="str">
        <f>IF(Definitions!$W$2,IF($G$33 &gt; ROW()-ROW($A$31),$B120+$G$41,""),"")</f>
        <v/>
      </c>
      <c r="C121" s="11" t="str">
        <f>IF(AND($G$33 &gt; ROW()-ROW($A$31),Definitions!$Y$2),$C120+$G$48,"")</f>
        <v/>
      </c>
      <c r="D121" s="11" t="str">
        <f t="shared" si="3"/>
        <v/>
      </c>
      <c r="E121" s="11" t="str">
        <f t="shared" si="4"/>
        <v/>
      </c>
      <c r="F121" s="76"/>
    </row>
    <row r="122" spans="1:6" ht="15.75" x14ac:dyDescent="0.25">
      <c r="A122" s="10" t="str">
        <f t="shared" si="5"/>
        <v/>
      </c>
      <c r="B122" s="11" t="str">
        <f>IF(Definitions!$W$2,IF($G$33 &gt; ROW()-ROW($A$31),$B121+$G$41,""),"")</f>
        <v/>
      </c>
      <c r="C122" s="11" t="str">
        <f>IF(AND($G$33 &gt; ROW()-ROW($A$31),Definitions!$Y$2),$C121+$G$48,"")</f>
        <v/>
      </c>
      <c r="D122" s="11" t="str">
        <f t="shared" si="3"/>
        <v/>
      </c>
      <c r="E122" s="11" t="str">
        <f t="shared" si="4"/>
        <v/>
      </c>
      <c r="F122" s="76"/>
    </row>
    <row r="123" spans="1:6" ht="15.75" x14ac:dyDescent="0.25">
      <c r="A123" s="10" t="str">
        <f t="shared" si="5"/>
        <v/>
      </c>
      <c r="B123" s="11" t="str">
        <f>IF(Definitions!$W$2,IF($G$33 &gt; ROW()-ROW($A$31),$B122+$G$41,""),"")</f>
        <v/>
      </c>
      <c r="C123" s="11" t="str">
        <f>IF(AND($G$33 &gt; ROW()-ROW($A$31),Definitions!$Y$2),$C122+$G$48,"")</f>
        <v/>
      </c>
      <c r="D123" s="11" t="str">
        <f t="shared" si="3"/>
        <v/>
      </c>
      <c r="E123" s="11" t="str">
        <f t="shared" si="4"/>
        <v/>
      </c>
      <c r="F123" s="76"/>
    </row>
    <row r="124" spans="1:6" ht="15.75" x14ac:dyDescent="0.25">
      <c r="A124" s="10" t="str">
        <f t="shared" si="5"/>
        <v/>
      </c>
      <c r="B124" s="11" t="str">
        <f>IF(Definitions!$W$2,IF($G$33 &gt; ROW()-ROW($A$31),$B123+$G$41,""),"")</f>
        <v/>
      </c>
      <c r="C124" s="11" t="str">
        <f>IF(AND($G$33 &gt; ROW()-ROW($A$31),Definitions!$Y$2),$C123+$G$48,"")</f>
        <v/>
      </c>
      <c r="D124" s="11" t="str">
        <f t="shared" si="3"/>
        <v/>
      </c>
      <c r="E124" s="11" t="str">
        <f t="shared" si="4"/>
        <v/>
      </c>
      <c r="F124" s="76"/>
    </row>
    <row r="125" spans="1:6" ht="15.75" x14ac:dyDescent="0.25">
      <c r="A125" s="10" t="str">
        <f t="shared" si="5"/>
        <v/>
      </c>
      <c r="B125" s="11" t="str">
        <f>IF(Definitions!$W$2,IF($G$33 &gt; ROW()-ROW($A$31),$B124+$G$41,""),"")</f>
        <v/>
      </c>
      <c r="C125" s="11" t="str">
        <f>IF(AND($G$33 &gt; ROW()-ROW($A$31),Definitions!$Y$2),$C124+$G$48,"")</f>
        <v/>
      </c>
      <c r="D125" s="11" t="str">
        <f t="shared" ref="D125:D188" si="6">IF(ISNUMBER(C125),$C$27-$C125,"")</f>
        <v/>
      </c>
      <c r="E125" s="11" t="str">
        <f t="shared" ref="E125:E188" si="7">IF(ISNUMBER(C125),C125-C124,"")</f>
        <v/>
      </c>
      <c r="F125" s="76"/>
    </row>
    <row r="126" spans="1:6" ht="15.75" x14ac:dyDescent="0.25">
      <c r="A126" s="10" t="str">
        <f t="shared" si="5"/>
        <v/>
      </c>
      <c r="B126" s="11" t="str">
        <f>IF(Definitions!$W$2,IF($G$33 &gt; ROW()-ROW($A$31),$B125+$G$41,""),"")</f>
        <v/>
      </c>
      <c r="C126" s="11" t="str">
        <f>IF(AND($G$33 &gt; ROW()-ROW($A$31),Definitions!$Y$2),$C125+$G$48,"")</f>
        <v/>
      </c>
      <c r="D126" s="11" t="str">
        <f t="shared" si="6"/>
        <v/>
      </c>
      <c r="E126" s="11" t="str">
        <f t="shared" si="7"/>
        <v/>
      </c>
      <c r="F126" s="76"/>
    </row>
    <row r="127" spans="1:6" ht="15.75" x14ac:dyDescent="0.25">
      <c r="A127" s="10" t="str">
        <f t="shared" si="5"/>
        <v/>
      </c>
      <c r="B127" s="11" t="str">
        <f>IF(Definitions!$W$2,IF($G$33 &gt; ROW()-ROW($A$31),$B126+$G$41,""),"")</f>
        <v/>
      </c>
      <c r="C127" s="11" t="str">
        <f>IF(AND($G$33 &gt; ROW()-ROW($A$31),Definitions!$Y$2),$C126+$G$48,"")</f>
        <v/>
      </c>
      <c r="D127" s="11" t="str">
        <f t="shared" si="6"/>
        <v/>
      </c>
      <c r="E127" s="11" t="str">
        <f t="shared" si="7"/>
        <v/>
      </c>
      <c r="F127" s="76"/>
    </row>
    <row r="128" spans="1:6" ht="15.75" x14ac:dyDescent="0.25">
      <c r="A128" s="10" t="str">
        <f t="shared" si="5"/>
        <v/>
      </c>
      <c r="B128" s="11" t="str">
        <f>IF(Definitions!$W$2,IF($G$33 &gt; ROW()-ROW($A$31),$B127+$G$41,""),"")</f>
        <v/>
      </c>
      <c r="C128" s="11" t="str">
        <f>IF(AND($G$33 &gt; ROW()-ROW($A$31),Definitions!$Y$2),$C127+$G$48,"")</f>
        <v/>
      </c>
      <c r="D128" s="11" t="str">
        <f t="shared" si="6"/>
        <v/>
      </c>
      <c r="E128" s="11" t="str">
        <f t="shared" si="7"/>
        <v/>
      </c>
      <c r="F128" s="76"/>
    </row>
    <row r="129" spans="1:6" ht="15.75" x14ac:dyDescent="0.25">
      <c r="A129" s="10" t="str">
        <f t="shared" si="5"/>
        <v/>
      </c>
      <c r="B129" s="11" t="str">
        <f>IF(Definitions!$W$2,IF($G$33 &gt; ROW()-ROW($A$31),$B128+$G$41,""),"")</f>
        <v/>
      </c>
      <c r="C129" s="11" t="str">
        <f>IF(AND($G$33 &gt; ROW()-ROW($A$31),Definitions!$Y$2),$C128+$G$48,"")</f>
        <v/>
      </c>
      <c r="D129" s="11" t="str">
        <f t="shared" si="6"/>
        <v/>
      </c>
      <c r="E129" s="11" t="str">
        <f t="shared" si="7"/>
        <v/>
      </c>
      <c r="F129" s="76"/>
    </row>
    <row r="130" spans="1:6" ht="15.75" x14ac:dyDescent="0.25">
      <c r="A130" s="10" t="str">
        <f t="shared" si="5"/>
        <v/>
      </c>
      <c r="B130" s="11" t="str">
        <f>IF(Definitions!$W$2,IF($G$33 &gt; ROW()-ROW($A$31),$B129+$G$41,""),"")</f>
        <v/>
      </c>
      <c r="C130" s="11" t="str">
        <f>IF(AND($G$33 &gt; ROW()-ROW($A$31),Definitions!$Y$2),$C129+$G$48,"")</f>
        <v/>
      </c>
      <c r="D130" s="11" t="str">
        <f t="shared" si="6"/>
        <v/>
      </c>
      <c r="E130" s="11" t="str">
        <f t="shared" si="7"/>
        <v/>
      </c>
      <c r="F130" s="76"/>
    </row>
    <row r="131" spans="1:6" ht="15.75" x14ac:dyDescent="0.25">
      <c r="A131" s="10" t="str">
        <f t="shared" si="5"/>
        <v/>
      </c>
      <c r="B131" s="11" t="str">
        <f>IF(Definitions!$W$2,IF($G$33 &gt; ROW()-ROW($A$31),$B130+$G$41,""),"")</f>
        <v/>
      </c>
      <c r="C131" s="11" t="str">
        <f>IF(AND($G$33 &gt; ROW()-ROW($A$31),Definitions!$Y$2),$C130+$G$48,"")</f>
        <v/>
      </c>
      <c r="D131" s="11" t="str">
        <f t="shared" si="6"/>
        <v/>
      </c>
      <c r="E131" s="11" t="str">
        <f t="shared" si="7"/>
        <v/>
      </c>
      <c r="F131" s="76"/>
    </row>
    <row r="132" spans="1:6" ht="15.75" x14ac:dyDescent="0.25">
      <c r="A132" s="10" t="str">
        <f t="shared" si="5"/>
        <v/>
      </c>
      <c r="B132" s="11" t="str">
        <f>IF(Definitions!$W$2,IF($G$33 &gt; ROW()-ROW($A$31),$B131+$G$41,""),"")</f>
        <v/>
      </c>
      <c r="C132" s="11" t="str">
        <f>IF(AND($G$33 &gt; ROW()-ROW($A$31),Definitions!$Y$2),$C131+$G$48,"")</f>
        <v/>
      </c>
      <c r="D132" s="11" t="str">
        <f t="shared" si="6"/>
        <v/>
      </c>
      <c r="E132" s="11" t="str">
        <f t="shared" si="7"/>
        <v/>
      </c>
      <c r="F132" s="76"/>
    </row>
    <row r="133" spans="1:6" ht="15.75" x14ac:dyDescent="0.25">
      <c r="A133" s="10" t="str">
        <f t="shared" si="5"/>
        <v/>
      </c>
      <c r="B133" s="11" t="str">
        <f>IF(Definitions!$W$2,IF($G$33 &gt; ROW()-ROW($A$31),$B132+$G$41,""),"")</f>
        <v/>
      </c>
      <c r="C133" s="11" t="str">
        <f>IF(AND($G$33 &gt; ROW()-ROW($A$31),Definitions!$Y$2),$C132+$G$48,"")</f>
        <v/>
      </c>
      <c r="D133" s="11" t="str">
        <f t="shared" si="6"/>
        <v/>
      </c>
      <c r="E133" s="11" t="str">
        <f t="shared" si="7"/>
        <v/>
      </c>
      <c r="F133" s="76"/>
    </row>
    <row r="134" spans="1:6" ht="15.75" x14ac:dyDescent="0.25">
      <c r="A134" s="10" t="str">
        <f t="shared" si="5"/>
        <v/>
      </c>
      <c r="B134" s="11" t="str">
        <f>IF(Definitions!$W$2,IF($G$33 &gt; ROW()-ROW($A$31),$B133+$G$41,""),"")</f>
        <v/>
      </c>
      <c r="C134" s="11" t="str">
        <f>IF(AND($G$33 &gt; ROW()-ROW($A$31),Definitions!$Y$2),$C133+$G$48,"")</f>
        <v/>
      </c>
      <c r="D134" s="11" t="str">
        <f t="shared" si="6"/>
        <v/>
      </c>
      <c r="E134" s="11" t="str">
        <f t="shared" si="7"/>
        <v/>
      </c>
      <c r="F134" s="76"/>
    </row>
    <row r="135" spans="1:6" ht="15.75" x14ac:dyDescent="0.25">
      <c r="A135" s="10" t="str">
        <f t="shared" si="5"/>
        <v/>
      </c>
      <c r="B135" s="11" t="str">
        <f>IF(Definitions!$W$2,IF($G$33 &gt; ROW()-ROW($A$31),$B134+$G$41,""),"")</f>
        <v/>
      </c>
      <c r="C135" s="11" t="str">
        <f>IF(AND($G$33 &gt; ROW()-ROW($A$31),Definitions!$Y$2),$C134+$G$48,"")</f>
        <v/>
      </c>
      <c r="D135" s="11" t="str">
        <f t="shared" si="6"/>
        <v/>
      </c>
      <c r="E135" s="11" t="str">
        <f t="shared" si="7"/>
        <v/>
      </c>
      <c r="F135" s="76"/>
    </row>
    <row r="136" spans="1:6" ht="15.75" x14ac:dyDescent="0.25">
      <c r="A136" s="10" t="str">
        <f t="shared" si="5"/>
        <v/>
      </c>
      <c r="B136" s="11" t="str">
        <f>IF(Definitions!$W$2,IF($G$33 &gt; ROW()-ROW($A$31),$B135+$G$41,""),"")</f>
        <v/>
      </c>
      <c r="C136" s="11" t="str">
        <f>IF(AND($G$33 &gt; ROW()-ROW($A$31),Definitions!$Y$2),$C135+$G$48,"")</f>
        <v/>
      </c>
      <c r="D136" s="11" t="str">
        <f t="shared" si="6"/>
        <v/>
      </c>
      <c r="E136" s="11" t="str">
        <f t="shared" si="7"/>
        <v/>
      </c>
      <c r="F136" s="76"/>
    </row>
    <row r="137" spans="1:6" ht="15.75" x14ac:dyDescent="0.25">
      <c r="A137" s="10" t="str">
        <f t="shared" si="5"/>
        <v/>
      </c>
      <c r="B137" s="11" t="str">
        <f>IF(Definitions!$W$2,IF($G$33 &gt; ROW()-ROW($A$31),$B136+$G$41,""),"")</f>
        <v/>
      </c>
      <c r="C137" s="11" t="str">
        <f>IF(AND($G$33 &gt; ROW()-ROW($A$31),Definitions!$Y$2),$C136+$G$48,"")</f>
        <v/>
      </c>
      <c r="D137" s="11" t="str">
        <f t="shared" si="6"/>
        <v/>
      </c>
      <c r="E137" s="11" t="str">
        <f t="shared" si="7"/>
        <v/>
      </c>
      <c r="F137" s="76"/>
    </row>
    <row r="138" spans="1:6" ht="15.75" x14ac:dyDescent="0.25">
      <c r="A138" s="10" t="str">
        <f t="shared" si="5"/>
        <v/>
      </c>
      <c r="B138" s="11" t="str">
        <f>IF(Definitions!$W$2,IF($G$33 &gt; ROW()-ROW($A$31),$B137+$G$41,""),"")</f>
        <v/>
      </c>
      <c r="C138" s="11" t="str">
        <f>IF(AND($G$33 &gt; ROW()-ROW($A$31),Definitions!$Y$2),$C137+$G$48,"")</f>
        <v/>
      </c>
      <c r="D138" s="11" t="str">
        <f t="shared" si="6"/>
        <v/>
      </c>
      <c r="E138" s="11" t="str">
        <f t="shared" si="7"/>
        <v/>
      </c>
      <c r="F138" s="76"/>
    </row>
    <row r="139" spans="1:6" ht="15.75" x14ac:dyDescent="0.25">
      <c r="A139" s="10" t="str">
        <f t="shared" si="5"/>
        <v/>
      </c>
      <c r="B139" s="11" t="str">
        <f>IF(Definitions!$W$2,IF($G$33 &gt; ROW()-ROW($A$31),$B138+$G$41,""),"")</f>
        <v/>
      </c>
      <c r="C139" s="11" t="str">
        <f>IF(AND($G$33 &gt; ROW()-ROW($A$31),Definitions!$Y$2),$C138+$G$48,"")</f>
        <v/>
      </c>
      <c r="D139" s="11" t="str">
        <f t="shared" si="6"/>
        <v/>
      </c>
      <c r="E139" s="11" t="str">
        <f t="shared" si="7"/>
        <v/>
      </c>
      <c r="F139" s="76"/>
    </row>
    <row r="140" spans="1:6" ht="15.75" x14ac:dyDescent="0.25">
      <c r="A140" s="10" t="str">
        <f t="shared" si="5"/>
        <v/>
      </c>
      <c r="B140" s="11" t="str">
        <f>IF(Definitions!$W$2,IF($G$33 &gt; ROW()-ROW($A$31),$B139+$G$41,""),"")</f>
        <v/>
      </c>
      <c r="C140" s="11" t="str">
        <f>IF(AND($G$33 &gt; ROW()-ROW($A$31),Definitions!$Y$2),$C139+$G$48,"")</f>
        <v/>
      </c>
      <c r="D140" s="11" t="str">
        <f t="shared" si="6"/>
        <v/>
      </c>
      <c r="E140" s="11" t="str">
        <f t="shared" si="7"/>
        <v/>
      </c>
      <c r="F140" s="76"/>
    </row>
    <row r="141" spans="1:6" ht="15.75" x14ac:dyDescent="0.25">
      <c r="A141" s="10" t="str">
        <f t="shared" si="5"/>
        <v/>
      </c>
      <c r="B141" s="11" t="str">
        <f>IF(Definitions!$W$2,IF($G$33 &gt; ROW()-ROW($A$31),$B140+$G$41,""),"")</f>
        <v/>
      </c>
      <c r="C141" s="11" t="str">
        <f>IF(AND($G$33 &gt; ROW()-ROW($A$31),Definitions!$Y$2),$C140+$G$48,"")</f>
        <v/>
      </c>
      <c r="D141" s="11" t="str">
        <f t="shared" si="6"/>
        <v/>
      </c>
      <c r="E141" s="11" t="str">
        <f t="shared" si="7"/>
        <v/>
      </c>
      <c r="F141" s="76"/>
    </row>
    <row r="142" spans="1:6" ht="15.75" x14ac:dyDescent="0.25">
      <c r="A142" s="10" t="str">
        <f t="shared" si="5"/>
        <v/>
      </c>
      <c r="B142" s="11" t="str">
        <f>IF(Definitions!$W$2,IF($G$33 &gt; ROW()-ROW($A$31),$B141+$G$41,""),"")</f>
        <v/>
      </c>
      <c r="C142" s="11" t="str">
        <f>IF(AND($G$33 &gt; ROW()-ROW($A$31),Definitions!$Y$2),$C141+$G$48,"")</f>
        <v/>
      </c>
      <c r="D142" s="11" t="str">
        <f t="shared" si="6"/>
        <v/>
      </c>
      <c r="E142" s="11" t="str">
        <f t="shared" si="7"/>
        <v/>
      </c>
      <c r="F142" s="76"/>
    </row>
    <row r="143" spans="1:6" ht="15.75" x14ac:dyDescent="0.25">
      <c r="A143" s="10" t="str">
        <f t="shared" si="5"/>
        <v/>
      </c>
      <c r="B143" s="11" t="str">
        <f>IF(Definitions!$W$2,IF($G$33 &gt; ROW()-ROW($A$31),$B142+$G$41,""),"")</f>
        <v/>
      </c>
      <c r="C143" s="11" t="str">
        <f>IF(AND($G$33 &gt; ROW()-ROW($A$31),Definitions!$Y$2),$C142+$G$48,"")</f>
        <v/>
      </c>
      <c r="D143" s="11" t="str">
        <f t="shared" si="6"/>
        <v/>
      </c>
      <c r="E143" s="11" t="str">
        <f t="shared" si="7"/>
        <v/>
      </c>
      <c r="F143" s="76"/>
    </row>
    <row r="144" spans="1:6" ht="15.75" x14ac:dyDescent="0.25">
      <c r="A144" s="10" t="str">
        <f t="shared" si="5"/>
        <v/>
      </c>
      <c r="B144" s="11" t="str">
        <f>IF(Definitions!$W$2,IF($G$33 &gt; ROW()-ROW($A$31),$B143+$G$41,""),"")</f>
        <v/>
      </c>
      <c r="C144" s="11" t="str">
        <f>IF(AND($G$33 &gt; ROW()-ROW($A$31),Definitions!$Y$2),$C143+$G$48,"")</f>
        <v/>
      </c>
      <c r="D144" s="11" t="str">
        <f t="shared" si="6"/>
        <v/>
      </c>
      <c r="E144" s="11" t="str">
        <f t="shared" si="7"/>
        <v/>
      </c>
      <c r="F144" s="76"/>
    </row>
    <row r="145" spans="1:6" ht="15.75" x14ac:dyDescent="0.25">
      <c r="A145" s="10" t="str">
        <f t="shared" si="5"/>
        <v/>
      </c>
      <c r="B145" s="11" t="str">
        <f>IF(Definitions!$W$2,IF($G$33 &gt; ROW()-ROW($A$31),$B144+$G$41,""),"")</f>
        <v/>
      </c>
      <c r="C145" s="11" t="str">
        <f>IF(AND($G$33 &gt; ROW()-ROW($A$31),Definitions!$Y$2),$C144+$G$48,"")</f>
        <v/>
      </c>
      <c r="D145" s="11" t="str">
        <f t="shared" si="6"/>
        <v/>
      </c>
      <c r="E145" s="11" t="str">
        <f t="shared" si="7"/>
        <v/>
      </c>
      <c r="F145" s="76"/>
    </row>
    <row r="146" spans="1:6" ht="15.75" x14ac:dyDescent="0.25">
      <c r="A146" s="10" t="str">
        <f t="shared" si="5"/>
        <v/>
      </c>
      <c r="B146" s="11" t="str">
        <f>IF(Definitions!$W$2,IF($G$33 &gt; ROW()-ROW($A$31),$B145+$G$41,""),"")</f>
        <v/>
      </c>
      <c r="C146" s="11" t="str">
        <f>IF(AND($G$33 &gt; ROW()-ROW($A$31),Definitions!$Y$2),$C145+$G$48,"")</f>
        <v/>
      </c>
      <c r="D146" s="11" t="str">
        <f t="shared" si="6"/>
        <v/>
      </c>
      <c r="E146" s="11" t="str">
        <f t="shared" si="7"/>
        <v/>
      </c>
      <c r="F146" s="76"/>
    </row>
    <row r="147" spans="1:6" ht="15.75" x14ac:dyDescent="0.25">
      <c r="A147" s="10" t="str">
        <f t="shared" si="5"/>
        <v/>
      </c>
      <c r="B147" s="11" t="str">
        <f>IF(Definitions!$W$2,IF($G$33 &gt; ROW()-ROW($A$31),$B146+$G$41,""),"")</f>
        <v/>
      </c>
      <c r="C147" s="11" t="str">
        <f>IF(AND($G$33 &gt; ROW()-ROW($A$31),Definitions!$Y$2),$C146+$G$48,"")</f>
        <v/>
      </c>
      <c r="D147" s="11" t="str">
        <f t="shared" si="6"/>
        <v/>
      </c>
      <c r="E147" s="11" t="str">
        <f t="shared" si="7"/>
        <v/>
      </c>
      <c r="F147" s="76"/>
    </row>
    <row r="148" spans="1:6" ht="15.75" x14ac:dyDescent="0.25">
      <c r="A148" s="10" t="str">
        <f t="shared" si="5"/>
        <v/>
      </c>
      <c r="B148" s="11" t="str">
        <f>IF(Definitions!$W$2,IF($G$33 &gt; ROW()-ROW($A$31),$B147+$G$41,""),"")</f>
        <v/>
      </c>
      <c r="C148" s="11" t="str">
        <f>IF(AND($G$33 &gt; ROW()-ROW($A$31),Definitions!$Y$2),$C147+$G$48,"")</f>
        <v/>
      </c>
      <c r="D148" s="11" t="str">
        <f t="shared" si="6"/>
        <v/>
      </c>
      <c r="E148" s="11" t="str">
        <f t="shared" si="7"/>
        <v/>
      </c>
      <c r="F148" s="76"/>
    </row>
    <row r="149" spans="1:6" ht="15.75" x14ac:dyDescent="0.25">
      <c r="A149" s="10" t="str">
        <f t="shared" si="5"/>
        <v/>
      </c>
      <c r="B149" s="11" t="str">
        <f>IF(Definitions!$W$2,IF($G$33 &gt; ROW()-ROW($A$31),$B148+$G$41,""),"")</f>
        <v/>
      </c>
      <c r="C149" s="11" t="str">
        <f>IF(AND($G$33 &gt; ROW()-ROW($A$31),Definitions!$Y$2),$C148+$G$48,"")</f>
        <v/>
      </c>
      <c r="D149" s="11" t="str">
        <f t="shared" si="6"/>
        <v/>
      </c>
      <c r="E149" s="11" t="str">
        <f t="shared" si="7"/>
        <v/>
      </c>
      <c r="F149" s="76"/>
    </row>
    <row r="150" spans="1:6" ht="15.75" x14ac:dyDescent="0.25">
      <c r="A150" s="10" t="str">
        <f t="shared" si="5"/>
        <v/>
      </c>
      <c r="B150" s="11" t="str">
        <f>IF(Definitions!$W$2,IF($G$33 &gt; ROW()-ROW($A$31),$B149+$G$41,""),"")</f>
        <v/>
      </c>
      <c r="C150" s="11" t="str">
        <f>IF(AND($G$33 &gt; ROW()-ROW($A$31),Definitions!$Y$2),$C149+$G$48,"")</f>
        <v/>
      </c>
      <c r="D150" s="11" t="str">
        <f t="shared" si="6"/>
        <v/>
      </c>
      <c r="E150" s="11" t="str">
        <f t="shared" si="7"/>
        <v/>
      </c>
      <c r="F150" s="76"/>
    </row>
    <row r="151" spans="1:6" ht="15.75" x14ac:dyDescent="0.25">
      <c r="A151" s="10" t="str">
        <f t="shared" si="5"/>
        <v/>
      </c>
      <c r="B151" s="11" t="str">
        <f>IF(Definitions!$W$2,IF($G$33 &gt; ROW()-ROW($A$31),$B150+$G$41,""),"")</f>
        <v/>
      </c>
      <c r="C151" s="11" t="str">
        <f>IF(AND($G$33 &gt; ROW()-ROW($A$31),Definitions!$Y$2),$C150+$G$48,"")</f>
        <v/>
      </c>
      <c r="D151" s="11" t="str">
        <f t="shared" si="6"/>
        <v/>
      </c>
      <c r="E151" s="11" t="str">
        <f t="shared" si="7"/>
        <v/>
      </c>
      <c r="F151" s="76"/>
    </row>
    <row r="152" spans="1:6" ht="15.75" x14ac:dyDescent="0.25">
      <c r="A152" s="10" t="str">
        <f t="shared" si="5"/>
        <v/>
      </c>
      <c r="B152" s="11" t="str">
        <f>IF(Definitions!$W$2,IF($G$33 &gt; ROW()-ROW($A$31),$B151+$G$41,""),"")</f>
        <v/>
      </c>
      <c r="C152" s="11" t="str">
        <f>IF(AND($G$33 &gt; ROW()-ROW($A$31),Definitions!$Y$2),$C151+$G$48,"")</f>
        <v/>
      </c>
      <c r="D152" s="11" t="str">
        <f t="shared" si="6"/>
        <v/>
      </c>
      <c r="E152" s="11" t="str">
        <f t="shared" si="7"/>
        <v/>
      </c>
      <c r="F152" s="76"/>
    </row>
    <row r="153" spans="1:6" ht="15.75" x14ac:dyDescent="0.25">
      <c r="A153" s="10" t="str">
        <f t="shared" si="5"/>
        <v/>
      </c>
      <c r="B153" s="11" t="str">
        <f>IF(Definitions!$W$2,IF($G$33 &gt; ROW()-ROW($A$31),$B152+$G$41,""),"")</f>
        <v/>
      </c>
      <c r="C153" s="11" t="str">
        <f>IF(AND($G$33 &gt; ROW()-ROW($A$31),Definitions!$Y$2),$C152+$G$48,"")</f>
        <v/>
      </c>
      <c r="D153" s="11" t="str">
        <f t="shared" si="6"/>
        <v/>
      </c>
      <c r="E153" s="11" t="str">
        <f t="shared" si="7"/>
        <v/>
      </c>
      <c r="F153" s="76"/>
    </row>
    <row r="154" spans="1:6" ht="15.75" x14ac:dyDescent="0.25">
      <c r="A154" s="10" t="str">
        <f t="shared" si="5"/>
        <v/>
      </c>
      <c r="B154" s="11" t="str">
        <f>IF(Definitions!$W$2,IF($G$33 &gt; ROW()-ROW($A$31),$B153+$G$41,""),"")</f>
        <v/>
      </c>
      <c r="C154" s="11" t="str">
        <f>IF(AND($G$33 &gt; ROW()-ROW($A$31),Definitions!$Y$2),$C153+$G$48,"")</f>
        <v/>
      </c>
      <c r="D154" s="11" t="str">
        <f t="shared" si="6"/>
        <v/>
      </c>
      <c r="E154" s="11" t="str">
        <f t="shared" si="7"/>
        <v/>
      </c>
      <c r="F154" s="76"/>
    </row>
    <row r="155" spans="1:6" ht="15.75" x14ac:dyDescent="0.25">
      <c r="A155" s="10" t="str">
        <f t="shared" si="5"/>
        <v/>
      </c>
      <c r="B155" s="11" t="str">
        <f>IF(Definitions!$W$2,IF($G$33 &gt; ROW()-ROW($A$31),$B154+$G$41,""),"")</f>
        <v/>
      </c>
      <c r="C155" s="11" t="str">
        <f>IF(AND($G$33 &gt; ROW()-ROW($A$31),Definitions!$Y$2),$C154+$G$48,"")</f>
        <v/>
      </c>
      <c r="D155" s="11" t="str">
        <f t="shared" si="6"/>
        <v/>
      </c>
      <c r="E155" s="11" t="str">
        <f t="shared" si="7"/>
        <v/>
      </c>
      <c r="F155" s="76"/>
    </row>
    <row r="156" spans="1:6" ht="15.75" x14ac:dyDescent="0.25">
      <c r="A156" s="10" t="str">
        <f t="shared" si="5"/>
        <v/>
      </c>
      <c r="B156" s="11" t="str">
        <f>IF(Definitions!$W$2,IF($G$33 &gt; ROW()-ROW($A$31),$B155+$G$41,""),"")</f>
        <v/>
      </c>
      <c r="C156" s="11" t="str">
        <f>IF(AND($G$33 &gt; ROW()-ROW($A$31),Definitions!$Y$2),$C155+$G$48,"")</f>
        <v/>
      </c>
      <c r="D156" s="11" t="str">
        <f t="shared" si="6"/>
        <v/>
      </c>
      <c r="E156" s="11" t="str">
        <f t="shared" si="7"/>
        <v/>
      </c>
      <c r="F156" s="76"/>
    </row>
    <row r="157" spans="1:6" ht="15.75" x14ac:dyDescent="0.25">
      <c r="A157" s="10" t="str">
        <f t="shared" si="5"/>
        <v/>
      </c>
      <c r="B157" s="11" t="str">
        <f>IF(Definitions!$W$2,IF($G$33 &gt; ROW()-ROW($A$31),$B156+$G$41,""),"")</f>
        <v/>
      </c>
      <c r="C157" s="11" t="str">
        <f>IF(AND($G$33 &gt; ROW()-ROW($A$31),Definitions!$Y$2),$C156+$G$48,"")</f>
        <v/>
      </c>
      <c r="D157" s="11" t="str">
        <f t="shared" si="6"/>
        <v/>
      </c>
      <c r="E157" s="11" t="str">
        <f t="shared" si="7"/>
        <v/>
      </c>
      <c r="F157" s="76"/>
    </row>
    <row r="158" spans="1:6" ht="15.75" x14ac:dyDescent="0.25">
      <c r="A158" s="10" t="str">
        <f t="shared" si="5"/>
        <v/>
      </c>
      <c r="B158" s="11" t="str">
        <f>IF(Definitions!$W$2,IF($G$33 &gt; ROW()-ROW($A$31),$B157+$G$41,""),"")</f>
        <v/>
      </c>
      <c r="C158" s="11" t="str">
        <f>IF(AND($G$33 &gt; ROW()-ROW($A$31),Definitions!$Y$2),$C157+$G$48,"")</f>
        <v/>
      </c>
      <c r="D158" s="11" t="str">
        <f t="shared" si="6"/>
        <v/>
      </c>
      <c r="E158" s="11" t="str">
        <f t="shared" si="7"/>
        <v/>
      </c>
      <c r="F158" s="76"/>
    </row>
    <row r="159" spans="1:6" ht="15.75" x14ac:dyDescent="0.25">
      <c r="A159" s="10" t="str">
        <f t="shared" ref="A159:A222" si="8">IF($G$33 &gt; ROW()-ROW($A$31),CONCATENATE("FBG",ROW()-ROW($A$30)),"")</f>
        <v/>
      </c>
      <c r="B159" s="11" t="str">
        <f>IF(Definitions!$W$2,IF($G$33 &gt; ROW()-ROW($A$31),$B158+$G$41,""),"")</f>
        <v/>
      </c>
      <c r="C159" s="11" t="str">
        <f>IF(AND($G$33 &gt; ROW()-ROW($A$31),Definitions!$Y$2),$C158+$G$48,"")</f>
        <v/>
      </c>
      <c r="D159" s="11" t="str">
        <f t="shared" si="6"/>
        <v/>
      </c>
      <c r="E159" s="11" t="str">
        <f t="shared" si="7"/>
        <v/>
      </c>
      <c r="F159" s="76"/>
    </row>
    <row r="160" spans="1:6" ht="15.75" x14ac:dyDescent="0.25">
      <c r="A160" s="10" t="str">
        <f t="shared" si="8"/>
        <v/>
      </c>
      <c r="B160" s="11" t="str">
        <f>IF(Definitions!$W$2,IF($G$33 &gt; ROW()-ROW($A$31),$B159+$G$41,""),"")</f>
        <v/>
      </c>
      <c r="C160" s="11" t="str">
        <f>IF(AND($G$33 &gt; ROW()-ROW($A$31),Definitions!$Y$2),$C159+$G$48,"")</f>
        <v/>
      </c>
      <c r="D160" s="11" t="str">
        <f t="shared" si="6"/>
        <v/>
      </c>
      <c r="E160" s="11" t="str">
        <f t="shared" si="7"/>
        <v/>
      </c>
      <c r="F160" s="76"/>
    </row>
    <row r="161" spans="1:6" ht="15.75" x14ac:dyDescent="0.25">
      <c r="A161" s="10" t="str">
        <f t="shared" si="8"/>
        <v/>
      </c>
      <c r="B161" s="11" t="str">
        <f>IF(Definitions!$W$2,IF($G$33 &gt; ROW()-ROW($A$31),$B160+$G$41,""),"")</f>
        <v/>
      </c>
      <c r="C161" s="11" t="str">
        <f>IF(AND($G$33 &gt; ROW()-ROW($A$31),Definitions!$Y$2),$C160+$G$48,"")</f>
        <v/>
      </c>
      <c r="D161" s="11" t="str">
        <f t="shared" si="6"/>
        <v/>
      </c>
      <c r="E161" s="11" t="str">
        <f t="shared" si="7"/>
        <v/>
      </c>
      <c r="F161" s="76"/>
    </row>
    <row r="162" spans="1:6" ht="15.75" x14ac:dyDescent="0.25">
      <c r="A162" s="10" t="str">
        <f t="shared" si="8"/>
        <v/>
      </c>
      <c r="B162" s="11" t="str">
        <f>IF(Definitions!$W$2,IF($G$33 &gt; ROW()-ROW($A$31),$B161+$G$41,""),"")</f>
        <v/>
      </c>
      <c r="C162" s="11" t="str">
        <f>IF(AND($G$33 &gt; ROW()-ROW($A$31),Definitions!$Y$2),$C161+$G$48,"")</f>
        <v/>
      </c>
      <c r="D162" s="11" t="str">
        <f t="shared" si="6"/>
        <v/>
      </c>
      <c r="E162" s="11" t="str">
        <f t="shared" si="7"/>
        <v/>
      </c>
      <c r="F162" s="76"/>
    </row>
    <row r="163" spans="1:6" ht="15.75" x14ac:dyDescent="0.25">
      <c r="A163" s="10" t="str">
        <f t="shared" si="8"/>
        <v/>
      </c>
      <c r="B163" s="11" t="str">
        <f>IF(Definitions!$W$2,IF($G$33 &gt; ROW()-ROW($A$31),$B162+$G$41,""),"")</f>
        <v/>
      </c>
      <c r="C163" s="11" t="str">
        <f>IF(AND($G$33 &gt; ROW()-ROW($A$31),Definitions!$Y$2),$C162+$G$48,"")</f>
        <v/>
      </c>
      <c r="D163" s="11" t="str">
        <f t="shared" si="6"/>
        <v/>
      </c>
      <c r="E163" s="11" t="str">
        <f t="shared" si="7"/>
        <v/>
      </c>
      <c r="F163" s="76"/>
    </row>
    <row r="164" spans="1:6" ht="15.75" x14ac:dyDescent="0.25">
      <c r="A164" s="10" t="str">
        <f t="shared" si="8"/>
        <v/>
      </c>
      <c r="B164" s="11" t="str">
        <f>IF(Definitions!$W$2,IF($G$33 &gt; ROW()-ROW($A$31),$B163+$G$41,""),"")</f>
        <v/>
      </c>
      <c r="C164" s="11" t="str">
        <f>IF(AND($G$33 &gt; ROW()-ROW($A$31),Definitions!$Y$2),$C163+$G$48,"")</f>
        <v/>
      </c>
      <c r="D164" s="11" t="str">
        <f t="shared" si="6"/>
        <v/>
      </c>
      <c r="E164" s="11" t="str">
        <f t="shared" si="7"/>
        <v/>
      </c>
      <c r="F164" s="76"/>
    </row>
    <row r="165" spans="1:6" ht="15.75" x14ac:dyDescent="0.25">
      <c r="A165" s="10" t="str">
        <f t="shared" si="8"/>
        <v/>
      </c>
      <c r="B165" s="11" t="str">
        <f>IF(Definitions!$W$2,IF($G$33 &gt; ROW()-ROW($A$31),$B164+$G$41,""),"")</f>
        <v/>
      </c>
      <c r="C165" s="11" t="str">
        <f>IF(AND($G$33 &gt; ROW()-ROW($A$31),Definitions!$Y$2),$C164+$G$48,"")</f>
        <v/>
      </c>
      <c r="D165" s="11" t="str">
        <f t="shared" si="6"/>
        <v/>
      </c>
      <c r="E165" s="11" t="str">
        <f t="shared" si="7"/>
        <v/>
      </c>
      <c r="F165" s="76"/>
    </row>
    <row r="166" spans="1:6" ht="15.75" x14ac:dyDescent="0.25">
      <c r="A166" s="10" t="str">
        <f t="shared" si="8"/>
        <v/>
      </c>
      <c r="B166" s="11" t="str">
        <f>IF(Definitions!$W$2,IF($G$33 &gt; ROW()-ROW($A$31),$B165+$G$41,""),"")</f>
        <v/>
      </c>
      <c r="C166" s="11" t="str">
        <f>IF(AND($G$33 &gt; ROW()-ROW($A$31),Definitions!$Y$2),$C165+$G$48,"")</f>
        <v/>
      </c>
      <c r="D166" s="11" t="str">
        <f t="shared" si="6"/>
        <v/>
      </c>
      <c r="E166" s="11" t="str">
        <f t="shared" si="7"/>
        <v/>
      </c>
      <c r="F166" s="76"/>
    </row>
    <row r="167" spans="1:6" ht="15.75" x14ac:dyDescent="0.25">
      <c r="A167" s="10" t="str">
        <f t="shared" si="8"/>
        <v/>
      </c>
      <c r="B167" s="11" t="str">
        <f>IF(Definitions!$W$2,IF($G$33 &gt; ROW()-ROW($A$31),$B166+$G$41,""),"")</f>
        <v/>
      </c>
      <c r="C167" s="11" t="str">
        <f>IF(AND($G$33 &gt; ROW()-ROW($A$31),Definitions!$Y$2),$C166+$G$48,"")</f>
        <v/>
      </c>
      <c r="D167" s="11" t="str">
        <f t="shared" si="6"/>
        <v/>
      </c>
      <c r="E167" s="11" t="str">
        <f t="shared" si="7"/>
        <v/>
      </c>
      <c r="F167" s="76"/>
    </row>
    <row r="168" spans="1:6" ht="15.75" x14ac:dyDescent="0.25">
      <c r="A168" s="10" t="str">
        <f t="shared" si="8"/>
        <v/>
      </c>
      <c r="B168" s="11" t="str">
        <f>IF(Definitions!$W$2,IF($G$33 &gt; ROW()-ROW($A$31),$B167+$G$41,""),"")</f>
        <v/>
      </c>
      <c r="C168" s="11" t="str">
        <f>IF(AND($G$33 &gt; ROW()-ROW($A$31),Definitions!$Y$2),$C167+$G$48,"")</f>
        <v/>
      </c>
      <c r="D168" s="11" t="str">
        <f t="shared" si="6"/>
        <v/>
      </c>
      <c r="E168" s="11" t="str">
        <f t="shared" si="7"/>
        <v/>
      </c>
      <c r="F168" s="76"/>
    </row>
    <row r="169" spans="1:6" ht="15.75" x14ac:dyDescent="0.25">
      <c r="A169" s="10" t="str">
        <f t="shared" si="8"/>
        <v/>
      </c>
      <c r="B169" s="11" t="str">
        <f>IF(Definitions!$W$2,IF($G$33 &gt; ROW()-ROW($A$31),$B168+$G$41,""),"")</f>
        <v/>
      </c>
      <c r="C169" s="11" t="str">
        <f>IF(AND($G$33 &gt; ROW()-ROW($A$31),Definitions!$Y$2),$C168+$G$48,"")</f>
        <v/>
      </c>
      <c r="D169" s="11" t="str">
        <f t="shared" si="6"/>
        <v/>
      </c>
      <c r="E169" s="11" t="str">
        <f t="shared" si="7"/>
        <v/>
      </c>
      <c r="F169" s="76"/>
    </row>
    <row r="170" spans="1:6" ht="15.75" x14ac:dyDescent="0.25">
      <c r="A170" s="10" t="str">
        <f t="shared" si="8"/>
        <v/>
      </c>
      <c r="B170" s="11" t="str">
        <f>IF(Definitions!$W$2,IF($G$33 &gt; ROW()-ROW($A$31),$B169+$G$41,""),"")</f>
        <v/>
      </c>
      <c r="C170" s="11" t="str">
        <f>IF(AND($G$33 &gt; ROW()-ROW($A$31),Definitions!$Y$2),$C169+$G$48,"")</f>
        <v/>
      </c>
      <c r="D170" s="11" t="str">
        <f t="shared" si="6"/>
        <v/>
      </c>
      <c r="E170" s="11" t="str">
        <f t="shared" si="7"/>
        <v/>
      </c>
      <c r="F170" s="76"/>
    </row>
    <row r="171" spans="1:6" ht="15.75" x14ac:dyDescent="0.25">
      <c r="A171" s="10" t="str">
        <f t="shared" si="8"/>
        <v/>
      </c>
      <c r="B171" s="11" t="str">
        <f>IF(Definitions!$W$2,IF($G$33 &gt; ROW()-ROW($A$31),$B170+$G$41,""),"")</f>
        <v/>
      </c>
      <c r="C171" s="11" t="str">
        <f>IF(AND($G$33 &gt; ROW()-ROW($A$31),Definitions!$Y$2),$C170+$G$48,"")</f>
        <v/>
      </c>
      <c r="D171" s="11" t="str">
        <f t="shared" si="6"/>
        <v/>
      </c>
      <c r="E171" s="11" t="str">
        <f t="shared" si="7"/>
        <v/>
      </c>
      <c r="F171" s="76"/>
    </row>
    <row r="172" spans="1:6" ht="15.75" x14ac:dyDescent="0.25">
      <c r="A172" s="10" t="str">
        <f t="shared" si="8"/>
        <v/>
      </c>
      <c r="B172" s="11" t="str">
        <f>IF(Definitions!$W$2,IF($G$33 &gt; ROW()-ROW($A$31),$B171+$G$41,""),"")</f>
        <v/>
      </c>
      <c r="C172" s="11" t="str">
        <f>IF(AND($G$33 &gt; ROW()-ROW($A$31),Definitions!$Y$2),$C171+$G$48,"")</f>
        <v/>
      </c>
      <c r="D172" s="11" t="str">
        <f t="shared" si="6"/>
        <v/>
      </c>
      <c r="E172" s="11" t="str">
        <f t="shared" si="7"/>
        <v/>
      </c>
      <c r="F172" s="76"/>
    </row>
    <row r="173" spans="1:6" ht="15.75" x14ac:dyDescent="0.25">
      <c r="A173" s="10" t="str">
        <f t="shared" si="8"/>
        <v/>
      </c>
      <c r="B173" s="11" t="str">
        <f>IF(Definitions!$W$2,IF($G$33 &gt; ROW()-ROW($A$31),$B172+$G$41,""),"")</f>
        <v/>
      </c>
      <c r="C173" s="11" t="str">
        <f>IF(AND($G$33 &gt; ROW()-ROW($A$31),Definitions!$Y$2),$C172+$G$48,"")</f>
        <v/>
      </c>
      <c r="D173" s="11" t="str">
        <f t="shared" si="6"/>
        <v/>
      </c>
      <c r="E173" s="11" t="str">
        <f t="shared" si="7"/>
        <v/>
      </c>
      <c r="F173" s="76"/>
    </row>
    <row r="174" spans="1:6" ht="15.75" x14ac:dyDescent="0.25">
      <c r="A174" s="10" t="str">
        <f t="shared" si="8"/>
        <v/>
      </c>
      <c r="B174" s="11" t="str">
        <f>IF(Definitions!$W$2,IF($G$33 &gt; ROW()-ROW($A$31),$B173+$G$41,""),"")</f>
        <v/>
      </c>
      <c r="C174" s="11" t="str">
        <f>IF(AND($G$33 &gt; ROW()-ROW($A$31),Definitions!$Y$2),$C173+$G$48,"")</f>
        <v/>
      </c>
      <c r="D174" s="11" t="str">
        <f t="shared" si="6"/>
        <v/>
      </c>
      <c r="E174" s="11" t="str">
        <f t="shared" si="7"/>
        <v/>
      </c>
      <c r="F174" s="76"/>
    </row>
    <row r="175" spans="1:6" ht="15.75" x14ac:dyDescent="0.25">
      <c r="A175" s="10" t="str">
        <f t="shared" si="8"/>
        <v/>
      </c>
      <c r="B175" s="11" t="str">
        <f>IF(Definitions!$W$2,IF($G$33 &gt; ROW()-ROW($A$31),$B174+$G$41,""),"")</f>
        <v/>
      </c>
      <c r="C175" s="11" t="str">
        <f>IF(AND($G$33 &gt; ROW()-ROW($A$31),Definitions!$Y$2),$C174+$G$48,"")</f>
        <v/>
      </c>
      <c r="D175" s="11" t="str">
        <f t="shared" si="6"/>
        <v/>
      </c>
      <c r="E175" s="11" t="str">
        <f t="shared" si="7"/>
        <v/>
      </c>
      <c r="F175" s="76"/>
    </row>
    <row r="176" spans="1:6" ht="15.75" x14ac:dyDescent="0.25">
      <c r="A176" s="10" t="str">
        <f t="shared" si="8"/>
        <v/>
      </c>
      <c r="B176" s="11" t="str">
        <f>IF(Definitions!$W$2,IF($G$33 &gt; ROW()-ROW($A$31),$B175+$G$41,""),"")</f>
        <v/>
      </c>
      <c r="C176" s="11" t="str">
        <f>IF(AND($G$33 &gt; ROW()-ROW($A$31),Definitions!$Y$2),$C175+$G$48,"")</f>
        <v/>
      </c>
      <c r="D176" s="11" t="str">
        <f t="shared" si="6"/>
        <v/>
      </c>
      <c r="E176" s="11" t="str">
        <f t="shared" si="7"/>
        <v/>
      </c>
      <c r="F176" s="76"/>
    </row>
    <row r="177" spans="1:6" ht="15.75" x14ac:dyDescent="0.25">
      <c r="A177" s="10" t="str">
        <f t="shared" si="8"/>
        <v/>
      </c>
      <c r="B177" s="11" t="str">
        <f>IF(Definitions!$W$2,IF($G$33 &gt; ROW()-ROW($A$31),$B176+$G$41,""),"")</f>
        <v/>
      </c>
      <c r="C177" s="11" t="str">
        <f>IF(AND($G$33 &gt; ROW()-ROW($A$31),Definitions!$Y$2),$C176+$G$48,"")</f>
        <v/>
      </c>
      <c r="D177" s="11" t="str">
        <f t="shared" si="6"/>
        <v/>
      </c>
      <c r="E177" s="11" t="str">
        <f t="shared" si="7"/>
        <v/>
      </c>
      <c r="F177" s="76"/>
    </row>
    <row r="178" spans="1:6" ht="15.75" x14ac:dyDescent="0.25">
      <c r="A178" s="10" t="str">
        <f t="shared" si="8"/>
        <v/>
      </c>
      <c r="B178" s="11" t="str">
        <f>IF(Definitions!$W$2,IF($G$33 &gt; ROW()-ROW($A$31),$B177+$G$41,""),"")</f>
        <v/>
      </c>
      <c r="C178" s="11" t="str">
        <f>IF(AND($G$33 &gt; ROW()-ROW($A$31),Definitions!$Y$2),$C177+$G$48,"")</f>
        <v/>
      </c>
      <c r="D178" s="11" t="str">
        <f t="shared" si="6"/>
        <v/>
      </c>
      <c r="E178" s="11" t="str">
        <f t="shared" si="7"/>
        <v/>
      </c>
      <c r="F178" s="76"/>
    </row>
    <row r="179" spans="1:6" ht="15.75" x14ac:dyDescent="0.25">
      <c r="A179" s="10" t="str">
        <f t="shared" si="8"/>
        <v/>
      </c>
      <c r="B179" s="11" t="str">
        <f>IF(Definitions!$W$2,IF($G$33 &gt; ROW()-ROW($A$31),$B178+$G$41,""),"")</f>
        <v/>
      </c>
      <c r="C179" s="11" t="str">
        <f>IF(AND($G$33 &gt; ROW()-ROW($A$31),Definitions!$Y$2),$C178+$G$48,"")</f>
        <v/>
      </c>
      <c r="D179" s="11" t="str">
        <f t="shared" si="6"/>
        <v/>
      </c>
      <c r="E179" s="11" t="str">
        <f t="shared" si="7"/>
        <v/>
      </c>
      <c r="F179" s="76"/>
    </row>
    <row r="180" spans="1:6" ht="15.75" x14ac:dyDescent="0.25">
      <c r="A180" s="10" t="str">
        <f t="shared" si="8"/>
        <v/>
      </c>
      <c r="B180" s="11" t="str">
        <f>IF(Definitions!$W$2,IF($G$33 &gt; ROW()-ROW($A$31),$B179+$G$41,""),"")</f>
        <v/>
      </c>
      <c r="C180" s="11" t="str">
        <f>IF(AND($G$33 &gt; ROW()-ROW($A$31),Definitions!$Y$2),$C179+$G$48,"")</f>
        <v/>
      </c>
      <c r="D180" s="11" t="str">
        <f t="shared" si="6"/>
        <v/>
      </c>
      <c r="E180" s="11" t="str">
        <f t="shared" si="7"/>
        <v/>
      </c>
      <c r="F180" s="76"/>
    </row>
    <row r="181" spans="1:6" ht="15.75" x14ac:dyDescent="0.25">
      <c r="A181" s="10" t="str">
        <f t="shared" si="8"/>
        <v/>
      </c>
      <c r="B181" s="11" t="str">
        <f>IF(Definitions!$W$2,IF($G$33 &gt; ROW()-ROW($A$31),$B180+$G$41,""),"")</f>
        <v/>
      </c>
      <c r="C181" s="11" t="str">
        <f>IF(AND($G$33 &gt; ROW()-ROW($A$31),Definitions!$Y$2),$C180+$G$48,"")</f>
        <v/>
      </c>
      <c r="D181" s="11" t="str">
        <f t="shared" si="6"/>
        <v/>
      </c>
      <c r="E181" s="11" t="str">
        <f t="shared" si="7"/>
        <v/>
      </c>
      <c r="F181" s="76"/>
    </row>
    <row r="182" spans="1:6" ht="15.75" x14ac:dyDescent="0.25">
      <c r="A182" s="10" t="str">
        <f t="shared" si="8"/>
        <v/>
      </c>
      <c r="B182" s="11" t="str">
        <f>IF(Definitions!$W$2,IF($G$33 &gt; ROW()-ROW($A$31),$B181+$G$41,""),"")</f>
        <v/>
      </c>
      <c r="C182" s="11" t="str">
        <f>IF(AND($G$33 &gt; ROW()-ROW($A$31),Definitions!$Y$2),$C181+$G$48,"")</f>
        <v/>
      </c>
      <c r="D182" s="11" t="str">
        <f t="shared" si="6"/>
        <v/>
      </c>
      <c r="E182" s="11" t="str">
        <f t="shared" si="7"/>
        <v/>
      </c>
      <c r="F182" s="76"/>
    </row>
    <row r="183" spans="1:6" ht="15.75" x14ac:dyDescent="0.25">
      <c r="A183" s="10" t="str">
        <f t="shared" si="8"/>
        <v/>
      </c>
      <c r="B183" s="11" t="str">
        <f>IF(Definitions!$W$2,IF($G$33 &gt; ROW()-ROW($A$31),$B182+$G$41,""),"")</f>
        <v/>
      </c>
      <c r="C183" s="11" t="str">
        <f>IF(AND($G$33 &gt; ROW()-ROW($A$31),Definitions!$Y$2),$C182+$G$48,"")</f>
        <v/>
      </c>
      <c r="D183" s="11" t="str">
        <f t="shared" si="6"/>
        <v/>
      </c>
      <c r="E183" s="11" t="str">
        <f t="shared" si="7"/>
        <v/>
      </c>
      <c r="F183" s="76"/>
    </row>
    <row r="184" spans="1:6" ht="15.75" x14ac:dyDescent="0.25">
      <c r="A184" s="10" t="str">
        <f t="shared" si="8"/>
        <v/>
      </c>
      <c r="B184" s="11" t="str">
        <f>IF(Definitions!$W$2,IF($G$33 &gt; ROW()-ROW($A$31),$B183+$G$41,""),"")</f>
        <v/>
      </c>
      <c r="C184" s="11" t="str">
        <f>IF(AND($G$33 &gt; ROW()-ROW($A$31),Definitions!$Y$2),$C183+$G$48,"")</f>
        <v/>
      </c>
      <c r="D184" s="11" t="str">
        <f t="shared" si="6"/>
        <v/>
      </c>
      <c r="E184" s="11" t="str">
        <f t="shared" si="7"/>
        <v/>
      </c>
      <c r="F184" s="76"/>
    </row>
    <row r="185" spans="1:6" ht="15.75" x14ac:dyDescent="0.25">
      <c r="A185" s="10" t="str">
        <f t="shared" si="8"/>
        <v/>
      </c>
      <c r="B185" s="11" t="str">
        <f>IF(Definitions!$W$2,IF($G$33 &gt; ROW()-ROW($A$31),$B184+$G$41,""),"")</f>
        <v/>
      </c>
      <c r="C185" s="11" t="str">
        <f>IF(AND($G$33 &gt; ROW()-ROW($A$31),Definitions!$Y$2),$C184+$G$48,"")</f>
        <v/>
      </c>
      <c r="D185" s="11" t="str">
        <f t="shared" si="6"/>
        <v/>
      </c>
      <c r="E185" s="11" t="str">
        <f t="shared" si="7"/>
        <v/>
      </c>
      <c r="F185" s="76"/>
    </row>
    <row r="186" spans="1:6" ht="15.75" x14ac:dyDescent="0.25">
      <c r="A186" s="10" t="str">
        <f t="shared" si="8"/>
        <v/>
      </c>
      <c r="B186" s="11" t="str">
        <f>IF(Definitions!$W$2,IF($G$33 &gt; ROW()-ROW($A$31),$B185+$G$41,""),"")</f>
        <v/>
      </c>
      <c r="C186" s="11" t="str">
        <f>IF(AND($G$33 &gt; ROW()-ROW($A$31),Definitions!$Y$2),$C185+$G$48,"")</f>
        <v/>
      </c>
      <c r="D186" s="11" t="str">
        <f t="shared" si="6"/>
        <v/>
      </c>
      <c r="E186" s="11" t="str">
        <f t="shared" si="7"/>
        <v/>
      </c>
      <c r="F186" s="76"/>
    </row>
    <row r="187" spans="1:6" ht="15.75" x14ac:dyDescent="0.25">
      <c r="A187" s="10" t="str">
        <f t="shared" si="8"/>
        <v/>
      </c>
      <c r="B187" s="11" t="str">
        <f>IF(Definitions!$W$2,IF($G$33 &gt; ROW()-ROW($A$31),$B186+$G$41,""),"")</f>
        <v/>
      </c>
      <c r="C187" s="11" t="str">
        <f>IF(AND($G$33 &gt; ROW()-ROW($A$31),Definitions!$Y$2),$C186+$G$48,"")</f>
        <v/>
      </c>
      <c r="D187" s="11" t="str">
        <f t="shared" si="6"/>
        <v/>
      </c>
      <c r="E187" s="11" t="str">
        <f t="shared" si="7"/>
        <v/>
      </c>
      <c r="F187" s="76"/>
    </row>
    <row r="188" spans="1:6" ht="15.75" x14ac:dyDescent="0.25">
      <c r="A188" s="10" t="str">
        <f t="shared" si="8"/>
        <v/>
      </c>
      <c r="B188" s="11" t="str">
        <f>IF(Definitions!$W$2,IF($G$33 &gt; ROW()-ROW($A$31),$B187+$G$41,""),"")</f>
        <v/>
      </c>
      <c r="C188" s="11" t="str">
        <f>IF(AND($G$33 &gt; ROW()-ROW($A$31),Definitions!$Y$2),$C187+$G$48,"")</f>
        <v/>
      </c>
      <c r="D188" s="11" t="str">
        <f t="shared" si="6"/>
        <v/>
      </c>
      <c r="E188" s="11" t="str">
        <f t="shared" si="7"/>
        <v/>
      </c>
      <c r="F188" s="76"/>
    </row>
    <row r="189" spans="1:6" ht="15.75" x14ac:dyDescent="0.25">
      <c r="A189" s="10" t="str">
        <f t="shared" si="8"/>
        <v/>
      </c>
      <c r="B189" s="11" t="str">
        <f>IF(Definitions!$W$2,IF($G$33 &gt; ROW()-ROW($A$31),$B188+$G$41,""),"")</f>
        <v/>
      </c>
      <c r="C189" s="11" t="str">
        <f>IF(AND($G$33 &gt; ROW()-ROW($A$31),Definitions!$Y$2),$C188+$G$48,"")</f>
        <v/>
      </c>
      <c r="D189" s="11" t="str">
        <f t="shared" ref="D189:D252" si="9">IF(ISNUMBER(C189),$C$27-$C189,"")</f>
        <v/>
      </c>
      <c r="E189" s="11" t="str">
        <f t="shared" ref="E189:E252" si="10">IF(ISNUMBER(C189),C189-C188,"")</f>
        <v/>
      </c>
      <c r="F189" s="76"/>
    </row>
    <row r="190" spans="1:6" ht="15.75" x14ac:dyDescent="0.25">
      <c r="A190" s="10" t="str">
        <f t="shared" si="8"/>
        <v/>
      </c>
      <c r="B190" s="11" t="str">
        <f>IF(Definitions!$W$2,IF($G$33 &gt; ROW()-ROW($A$31),$B189+$G$41,""),"")</f>
        <v/>
      </c>
      <c r="C190" s="11" t="str">
        <f>IF(AND($G$33 &gt; ROW()-ROW($A$31),Definitions!$Y$2),$C189+$G$48,"")</f>
        <v/>
      </c>
      <c r="D190" s="11" t="str">
        <f t="shared" si="9"/>
        <v/>
      </c>
      <c r="E190" s="11" t="str">
        <f t="shared" si="10"/>
        <v/>
      </c>
      <c r="F190" s="76"/>
    </row>
    <row r="191" spans="1:6" ht="15.75" x14ac:dyDescent="0.25">
      <c r="A191" s="10" t="str">
        <f t="shared" si="8"/>
        <v/>
      </c>
      <c r="B191" s="11" t="str">
        <f>IF(Definitions!$W$2,IF($G$33 &gt; ROW()-ROW($A$31),$B190+$G$41,""),"")</f>
        <v/>
      </c>
      <c r="C191" s="11" t="str">
        <f>IF(AND($G$33 &gt; ROW()-ROW($A$31),Definitions!$Y$2),$C190+$G$48,"")</f>
        <v/>
      </c>
      <c r="D191" s="11" t="str">
        <f t="shared" si="9"/>
        <v/>
      </c>
      <c r="E191" s="11" t="str">
        <f t="shared" si="10"/>
        <v/>
      </c>
      <c r="F191" s="76"/>
    </row>
    <row r="192" spans="1:6" ht="15.75" x14ac:dyDescent="0.25">
      <c r="A192" s="10" t="str">
        <f t="shared" si="8"/>
        <v/>
      </c>
      <c r="B192" s="11" t="str">
        <f>IF(Definitions!$W$2,IF($G$33 &gt; ROW()-ROW($A$31),$B191+$G$41,""),"")</f>
        <v/>
      </c>
      <c r="C192" s="11" t="str">
        <f>IF(AND($G$33 &gt; ROW()-ROW($A$31),Definitions!$Y$2),$C191+$G$48,"")</f>
        <v/>
      </c>
      <c r="D192" s="11" t="str">
        <f t="shared" si="9"/>
        <v/>
      </c>
      <c r="E192" s="11" t="str">
        <f t="shared" si="10"/>
        <v/>
      </c>
      <c r="F192" s="76"/>
    </row>
    <row r="193" spans="1:6" ht="15.75" x14ac:dyDescent="0.25">
      <c r="A193" s="10" t="str">
        <f t="shared" si="8"/>
        <v/>
      </c>
      <c r="B193" s="11" t="str">
        <f>IF(Definitions!$W$2,IF($G$33 &gt; ROW()-ROW($A$31),$B192+$G$41,""),"")</f>
        <v/>
      </c>
      <c r="C193" s="11" t="str">
        <f>IF(AND($G$33 &gt; ROW()-ROW($A$31),Definitions!$Y$2),$C192+$G$48,"")</f>
        <v/>
      </c>
      <c r="D193" s="11" t="str">
        <f t="shared" si="9"/>
        <v/>
      </c>
      <c r="E193" s="11" t="str">
        <f t="shared" si="10"/>
        <v/>
      </c>
      <c r="F193" s="76"/>
    </row>
    <row r="194" spans="1:6" ht="15.75" x14ac:dyDescent="0.25">
      <c r="A194" s="10" t="str">
        <f t="shared" si="8"/>
        <v/>
      </c>
      <c r="B194" s="11" t="str">
        <f>IF(Definitions!$W$2,IF($G$33 &gt; ROW()-ROW($A$31),$B193+$G$41,""),"")</f>
        <v/>
      </c>
      <c r="C194" s="11" t="str">
        <f>IF(AND($G$33 &gt; ROW()-ROW($A$31),Definitions!$Y$2),$C193+$G$48,"")</f>
        <v/>
      </c>
      <c r="D194" s="11" t="str">
        <f t="shared" si="9"/>
        <v/>
      </c>
      <c r="E194" s="11" t="str">
        <f t="shared" si="10"/>
        <v/>
      </c>
      <c r="F194" s="76"/>
    </row>
    <row r="195" spans="1:6" ht="15.75" x14ac:dyDescent="0.25">
      <c r="A195" s="10" t="str">
        <f t="shared" si="8"/>
        <v/>
      </c>
      <c r="B195" s="11" t="str">
        <f>IF(Definitions!$W$2,IF($G$33 &gt; ROW()-ROW($A$31),$B194+$G$41,""),"")</f>
        <v/>
      </c>
      <c r="C195" s="11" t="str">
        <f>IF(AND($G$33 &gt; ROW()-ROW($A$31),Definitions!$Y$2),$C194+$G$48,"")</f>
        <v/>
      </c>
      <c r="D195" s="11" t="str">
        <f t="shared" si="9"/>
        <v/>
      </c>
      <c r="E195" s="11" t="str">
        <f t="shared" si="10"/>
        <v/>
      </c>
      <c r="F195" s="76"/>
    </row>
    <row r="196" spans="1:6" ht="15.75" x14ac:dyDescent="0.25">
      <c r="A196" s="10" t="str">
        <f t="shared" si="8"/>
        <v/>
      </c>
      <c r="B196" s="11" t="str">
        <f>IF(Definitions!$W$2,IF($G$33 &gt; ROW()-ROW($A$31),$B195+$G$41,""),"")</f>
        <v/>
      </c>
      <c r="C196" s="11" t="str">
        <f>IF(AND($G$33 &gt; ROW()-ROW($A$31),Definitions!$Y$2),$C195+$G$48,"")</f>
        <v/>
      </c>
      <c r="D196" s="11" t="str">
        <f t="shared" si="9"/>
        <v/>
      </c>
      <c r="E196" s="11" t="str">
        <f t="shared" si="10"/>
        <v/>
      </c>
      <c r="F196" s="76"/>
    </row>
    <row r="197" spans="1:6" ht="15.75" x14ac:dyDescent="0.25">
      <c r="A197" s="10" t="str">
        <f t="shared" si="8"/>
        <v/>
      </c>
      <c r="B197" s="11" t="str">
        <f>IF(Definitions!$W$2,IF($G$33 &gt; ROW()-ROW($A$31),$B196+$G$41,""),"")</f>
        <v/>
      </c>
      <c r="C197" s="11" t="str">
        <f>IF(AND($G$33 &gt; ROW()-ROW($A$31),Definitions!$Y$2),$C196+$G$48,"")</f>
        <v/>
      </c>
      <c r="D197" s="11" t="str">
        <f t="shared" si="9"/>
        <v/>
      </c>
      <c r="E197" s="11" t="str">
        <f t="shared" si="10"/>
        <v/>
      </c>
      <c r="F197" s="76"/>
    </row>
    <row r="198" spans="1:6" ht="15.75" x14ac:dyDescent="0.25">
      <c r="A198" s="10" t="str">
        <f t="shared" si="8"/>
        <v/>
      </c>
      <c r="B198" s="11" t="str">
        <f>IF(Definitions!$W$2,IF($G$33 &gt; ROW()-ROW($A$31),$B197+$G$41,""),"")</f>
        <v/>
      </c>
      <c r="C198" s="11" t="str">
        <f>IF(AND($G$33 &gt; ROW()-ROW($A$31),Definitions!$Y$2),$C197+$G$48,"")</f>
        <v/>
      </c>
      <c r="D198" s="11" t="str">
        <f t="shared" si="9"/>
        <v/>
      </c>
      <c r="E198" s="11" t="str">
        <f t="shared" si="10"/>
        <v/>
      </c>
      <c r="F198" s="76"/>
    </row>
    <row r="199" spans="1:6" ht="15.75" x14ac:dyDescent="0.25">
      <c r="A199" s="10" t="str">
        <f t="shared" si="8"/>
        <v/>
      </c>
      <c r="B199" s="11" t="str">
        <f>IF(Definitions!$W$2,IF($G$33 &gt; ROW()-ROW($A$31),$B198+$G$41,""),"")</f>
        <v/>
      </c>
      <c r="C199" s="11" t="str">
        <f>IF(AND($G$33 &gt; ROW()-ROW($A$31),Definitions!$Y$2),$C198+$G$48,"")</f>
        <v/>
      </c>
      <c r="D199" s="11" t="str">
        <f t="shared" si="9"/>
        <v/>
      </c>
      <c r="E199" s="11" t="str">
        <f t="shared" si="10"/>
        <v/>
      </c>
      <c r="F199" s="76"/>
    </row>
    <row r="200" spans="1:6" ht="15.75" x14ac:dyDescent="0.25">
      <c r="A200" s="10" t="str">
        <f t="shared" si="8"/>
        <v/>
      </c>
      <c r="B200" s="11" t="str">
        <f>IF(Definitions!$W$2,IF($G$33 &gt; ROW()-ROW($A$31),$B199+$G$41,""),"")</f>
        <v/>
      </c>
      <c r="C200" s="11" t="str">
        <f>IF(AND($G$33 &gt; ROW()-ROW($A$31),Definitions!$Y$2),$C199+$G$48,"")</f>
        <v/>
      </c>
      <c r="D200" s="11" t="str">
        <f t="shared" si="9"/>
        <v/>
      </c>
      <c r="E200" s="11" t="str">
        <f t="shared" si="10"/>
        <v/>
      </c>
      <c r="F200" s="76"/>
    </row>
    <row r="201" spans="1:6" ht="15.75" x14ac:dyDescent="0.25">
      <c r="A201" s="10" t="str">
        <f t="shared" si="8"/>
        <v/>
      </c>
      <c r="B201" s="11" t="str">
        <f>IF(Definitions!$W$2,IF($G$33 &gt; ROW()-ROW($A$31),$B200+$G$41,""),"")</f>
        <v/>
      </c>
      <c r="C201" s="11" t="str">
        <f>IF(AND($G$33 &gt; ROW()-ROW($A$31),Definitions!$Y$2),$C200+$G$48,"")</f>
        <v/>
      </c>
      <c r="D201" s="11" t="str">
        <f t="shared" si="9"/>
        <v/>
      </c>
      <c r="E201" s="11" t="str">
        <f t="shared" si="10"/>
        <v/>
      </c>
      <c r="F201" s="76"/>
    </row>
    <row r="202" spans="1:6" ht="15.75" x14ac:dyDescent="0.25">
      <c r="A202" s="10" t="str">
        <f t="shared" si="8"/>
        <v/>
      </c>
      <c r="B202" s="11" t="str">
        <f>IF(Definitions!$W$2,IF($G$33 &gt; ROW()-ROW($A$31),$B201+$G$41,""),"")</f>
        <v/>
      </c>
      <c r="C202" s="11" t="str">
        <f>IF(AND($G$33 &gt; ROW()-ROW($A$31),Definitions!$Y$2),$C201+$G$48,"")</f>
        <v/>
      </c>
      <c r="D202" s="11" t="str">
        <f t="shared" si="9"/>
        <v/>
      </c>
      <c r="E202" s="11" t="str">
        <f t="shared" si="10"/>
        <v/>
      </c>
      <c r="F202" s="76"/>
    </row>
    <row r="203" spans="1:6" ht="15.75" x14ac:dyDescent="0.25">
      <c r="A203" s="10" t="str">
        <f t="shared" si="8"/>
        <v/>
      </c>
      <c r="B203" s="11" t="str">
        <f>IF(Definitions!$W$2,IF($G$33 &gt; ROW()-ROW($A$31),$B202+$G$41,""),"")</f>
        <v/>
      </c>
      <c r="C203" s="11" t="str">
        <f>IF(AND($G$33 &gt; ROW()-ROW($A$31),Definitions!$Y$2),$C202+$G$48,"")</f>
        <v/>
      </c>
      <c r="D203" s="11" t="str">
        <f t="shared" si="9"/>
        <v/>
      </c>
      <c r="E203" s="11" t="str">
        <f t="shared" si="10"/>
        <v/>
      </c>
      <c r="F203" s="76"/>
    </row>
    <row r="204" spans="1:6" ht="15.75" x14ac:dyDescent="0.25">
      <c r="A204" s="10" t="str">
        <f t="shared" si="8"/>
        <v/>
      </c>
      <c r="B204" s="11" t="str">
        <f>IF(Definitions!$W$2,IF($G$33 &gt; ROW()-ROW($A$31),$B203+$G$41,""),"")</f>
        <v/>
      </c>
      <c r="C204" s="11" t="str">
        <f>IF(AND($G$33 &gt; ROW()-ROW($A$31),Definitions!$Y$2),$C203+$G$48,"")</f>
        <v/>
      </c>
      <c r="D204" s="11" t="str">
        <f t="shared" si="9"/>
        <v/>
      </c>
      <c r="E204" s="11" t="str">
        <f t="shared" si="10"/>
        <v/>
      </c>
      <c r="F204" s="76"/>
    </row>
    <row r="205" spans="1:6" ht="15.75" x14ac:dyDescent="0.25">
      <c r="A205" s="10" t="str">
        <f t="shared" si="8"/>
        <v/>
      </c>
      <c r="B205" s="11" t="str">
        <f>IF(Definitions!$W$2,IF($G$33 &gt; ROW()-ROW($A$31),$B204+$G$41,""),"")</f>
        <v/>
      </c>
      <c r="C205" s="11" t="str">
        <f>IF(AND($G$33 &gt; ROW()-ROW($A$31),Definitions!$Y$2),$C204+$G$48,"")</f>
        <v/>
      </c>
      <c r="D205" s="11" t="str">
        <f t="shared" si="9"/>
        <v/>
      </c>
      <c r="E205" s="11" t="str">
        <f t="shared" si="10"/>
        <v/>
      </c>
      <c r="F205" s="76"/>
    </row>
    <row r="206" spans="1:6" ht="15.75" x14ac:dyDescent="0.25">
      <c r="A206" s="10" t="str">
        <f t="shared" si="8"/>
        <v/>
      </c>
      <c r="B206" s="11" t="str">
        <f>IF(Definitions!$W$2,IF($G$33 &gt; ROW()-ROW($A$31),$B205+$G$41,""),"")</f>
        <v/>
      </c>
      <c r="C206" s="11" t="str">
        <f>IF(AND($G$33 &gt; ROW()-ROW($A$31),Definitions!$Y$2),$C205+$G$48,"")</f>
        <v/>
      </c>
      <c r="D206" s="11" t="str">
        <f t="shared" si="9"/>
        <v/>
      </c>
      <c r="E206" s="11" t="str">
        <f t="shared" si="10"/>
        <v/>
      </c>
      <c r="F206" s="76"/>
    </row>
    <row r="207" spans="1:6" ht="15.75" x14ac:dyDescent="0.25">
      <c r="A207" s="10" t="str">
        <f t="shared" si="8"/>
        <v/>
      </c>
      <c r="B207" s="11" t="str">
        <f>IF(Definitions!$W$2,IF($G$33 &gt; ROW()-ROW($A$31),$B206+$G$41,""),"")</f>
        <v/>
      </c>
      <c r="C207" s="11" t="str">
        <f>IF(AND($G$33 &gt; ROW()-ROW($A$31),Definitions!$Y$2),$C206+$G$48,"")</f>
        <v/>
      </c>
      <c r="D207" s="11" t="str">
        <f t="shared" si="9"/>
        <v/>
      </c>
      <c r="E207" s="11" t="str">
        <f t="shared" si="10"/>
        <v/>
      </c>
      <c r="F207" s="76"/>
    </row>
    <row r="208" spans="1:6" ht="15.75" x14ac:dyDescent="0.25">
      <c r="A208" s="10" t="str">
        <f t="shared" si="8"/>
        <v/>
      </c>
      <c r="B208" s="11" t="str">
        <f>IF(Definitions!$W$2,IF($G$33 &gt; ROW()-ROW($A$31),$B207+$G$41,""),"")</f>
        <v/>
      </c>
      <c r="C208" s="11" t="str">
        <f>IF(AND($G$33 &gt; ROW()-ROW($A$31),Definitions!$Y$2),$C207+$G$48,"")</f>
        <v/>
      </c>
      <c r="D208" s="11" t="str">
        <f t="shared" si="9"/>
        <v/>
      </c>
      <c r="E208" s="11" t="str">
        <f t="shared" si="10"/>
        <v/>
      </c>
      <c r="F208" s="76"/>
    </row>
    <row r="209" spans="1:6" ht="15.75" x14ac:dyDescent="0.25">
      <c r="A209" s="10" t="str">
        <f t="shared" si="8"/>
        <v/>
      </c>
      <c r="B209" s="11" t="str">
        <f>IF(Definitions!$W$2,IF($G$33 &gt; ROW()-ROW($A$31),$B208+$G$41,""),"")</f>
        <v/>
      </c>
      <c r="C209" s="11" t="str">
        <f>IF(AND($G$33 &gt; ROW()-ROW($A$31),Definitions!$Y$2),$C208+$G$48,"")</f>
        <v/>
      </c>
      <c r="D209" s="11" t="str">
        <f t="shared" si="9"/>
        <v/>
      </c>
      <c r="E209" s="11" t="str">
        <f t="shared" si="10"/>
        <v/>
      </c>
      <c r="F209" s="76"/>
    </row>
    <row r="210" spans="1:6" ht="15.75" x14ac:dyDescent="0.25">
      <c r="A210" s="10" t="str">
        <f t="shared" si="8"/>
        <v/>
      </c>
      <c r="B210" s="11" t="str">
        <f>IF(Definitions!$W$2,IF($G$33 &gt; ROW()-ROW($A$31),$B209+$G$41,""),"")</f>
        <v/>
      </c>
      <c r="C210" s="11" t="str">
        <f>IF(AND($G$33 &gt; ROW()-ROW($A$31),Definitions!$Y$2),$C209+$G$48,"")</f>
        <v/>
      </c>
      <c r="D210" s="11" t="str">
        <f t="shared" si="9"/>
        <v/>
      </c>
      <c r="E210" s="11" t="str">
        <f t="shared" si="10"/>
        <v/>
      </c>
      <c r="F210" s="76"/>
    </row>
    <row r="211" spans="1:6" ht="15.75" x14ac:dyDescent="0.25">
      <c r="A211" s="10" t="str">
        <f t="shared" si="8"/>
        <v/>
      </c>
      <c r="B211" s="11" t="str">
        <f>IF(Definitions!$W$2,IF($G$33 &gt; ROW()-ROW($A$31),$B210+$G$41,""),"")</f>
        <v/>
      </c>
      <c r="C211" s="11" t="str">
        <f>IF(AND($G$33 &gt; ROW()-ROW($A$31),Definitions!$Y$2),$C210+$G$48,"")</f>
        <v/>
      </c>
      <c r="D211" s="11" t="str">
        <f t="shared" si="9"/>
        <v/>
      </c>
      <c r="E211" s="11" t="str">
        <f t="shared" si="10"/>
        <v/>
      </c>
      <c r="F211" s="76"/>
    </row>
    <row r="212" spans="1:6" ht="15.75" x14ac:dyDescent="0.25">
      <c r="A212" s="10" t="str">
        <f t="shared" si="8"/>
        <v/>
      </c>
      <c r="B212" s="11" t="str">
        <f>IF(Definitions!$W$2,IF($G$33 &gt; ROW()-ROW($A$31),$B211+$G$41,""),"")</f>
        <v/>
      </c>
      <c r="C212" s="11" t="str">
        <f>IF(AND($G$33 &gt; ROW()-ROW($A$31),Definitions!$Y$2),$C211+$G$48,"")</f>
        <v/>
      </c>
      <c r="D212" s="11" t="str">
        <f t="shared" si="9"/>
        <v/>
      </c>
      <c r="E212" s="11" t="str">
        <f t="shared" si="10"/>
        <v/>
      </c>
      <c r="F212" s="76"/>
    </row>
    <row r="213" spans="1:6" ht="15.75" x14ac:dyDescent="0.25">
      <c r="A213" s="10" t="str">
        <f t="shared" si="8"/>
        <v/>
      </c>
      <c r="B213" s="11" t="str">
        <f>IF(Definitions!$W$2,IF($G$33 &gt; ROW()-ROW($A$31),$B212+$G$41,""),"")</f>
        <v/>
      </c>
      <c r="C213" s="11" t="str">
        <f>IF(AND($G$33 &gt; ROW()-ROW($A$31),Definitions!$Y$2),$C212+$G$48,"")</f>
        <v/>
      </c>
      <c r="D213" s="11" t="str">
        <f t="shared" si="9"/>
        <v/>
      </c>
      <c r="E213" s="11" t="str">
        <f t="shared" si="10"/>
        <v/>
      </c>
      <c r="F213" s="76"/>
    </row>
    <row r="214" spans="1:6" ht="15.75" x14ac:dyDescent="0.25">
      <c r="A214" s="10" t="str">
        <f t="shared" si="8"/>
        <v/>
      </c>
      <c r="B214" s="11" t="str">
        <f>IF(Definitions!$W$2,IF($G$33 &gt; ROW()-ROW($A$31),$B213+$G$41,""),"")</f>
        <v/>
      </c>
      <c r="C214" s="11" t="str">
        <f>IF(AND($G$33 &gt; ROW()-ROW($A$31),Definitions!$Y$2),$C213+$G$48,"")</f>
        <v/>
      </c>
      <c r="D214" s="11" t="str">
        <f t="shared" si="9"/>
        <v/>
      </c>
      <c r="E214" s="11" t="str">
        <f t="shared" si="10"/>
        <v/>
      </c>
      <c r="F214" s="76"/>
    </row>
    <row r="215" spans="1:6" ht="15.75" x14ac:dyDescent="0.25">
      <c r="A215" s="10" t="str">
        <f t="shared" si="8"/>
        <v/>
      </c>
      <c r="B215" s="11" t="str">
        <f>IF(Definitions!$W$2,IF($G$33 &gt; ROW()-ROW($A$31),$B214+$G$41,""),"")</f>
        <v/>
      </c>
      <c r="C215" s="11" t="str">
        <f>IF(AND($G$33 &gt; ROW()-ROW($A$31),Definitions!$Y$2),$C214+$G$48,"")</f>
        <v/>
      </c>
      <c r="D215" s="11" t="str">
        <f t="shared" si="9"/>
        <v/>
      </c>
      <c r="E215" s="11" t="str">
        <f t="shared" si="10"/>
        <v/>
      </c>
      <c r="F215" s="76"/>
    </row>
    <row r="216" spans="1:6" ht="15.75" x14ac:dyDescent="0.25">
      <c r="A216" s="10" t="str">
        <f t="shared" si="8"/>
        <v/>
      </c>
      <c r="B216" s="11" t="str">
        <f>IF(Definitions!$W$2,IF($G$33 &gt; ROW()-ROW($A$31),$B215+$G$41,""),"")</f>
        <v/>
      </c>
      <c r="C216" s="11" t="str">
        <f>IF(AND($G$33 &gt; ROW()-ROW($A$31),Definitions!$Y$2),$C215+$G$48,"")</f>
        <v/>
      </c>
      <c r="D216" s="11" t="str">
        <f t="shared" si="9"/>
        <v/>
      </c>
      <c r="E216" s="11" t="str">
        <f t="shared" si="10"/>
        <v/>
      </c>
      <c r="F216" s="76"/>
    </row>
    <row r="217" spans="1:6" ht="15.75" x14ac:dyDescent="0.25">
      <c r="A217" s="10" t="str">
        <f t="shared" si="8"/>
        <v/>
      </c>
      <c r="B217" s="11" t="str">
        <f>IF(Definitions!$W$2,IF($G$33 &gt; ROW()-ROW($A$31),$B216+$G$41,""),"")</f>
        <v/>
      </c>
      <c r="C217" s="11" t="str">
        <f>IF(AND($G$33 &gt; ROW()-ROW($A$31),Definitions!$Y$2),$C216+$G$48,"")</f>
        <v/>
      </c>
      <c r="D217" s="11" t="str">
        <f t="shared" si="9"/>
        <v/>
      </c>
      <c r="E217" s="11" t="str">
        <f t="shared" si="10"/>
        <v/>
      </c>
      <c r="F217" s="76"/>
    </row>
    <row r="218" spans="1:6" ht="15.75" x14ac:dyDescent="0.25">
      <c r="A218" s="10" t="str">
        <f t="shared" si="8"/>
        <v/>
      </c>
      <c r="B218" s="11" t="str">
        <f>IF(Definitions!$W$2,IF($G$33 &gt; ROW()-ROW($A$31),$B217+$G$41,""),"")</f>
        <v/>
      </c>
      <c r="C218" s="11" t="str">
        <f>IF(AND($G$33 &gt; ROW()-ROW($A$31),Definitions!$Y$2),$C217+$G$48,"")</f>
        <v/>
      </c>
      <c r="D218" s="11" t="str">
        <f t="shared" si="9"/>
        <v/>
      </c>
      <c r="E218" s="11" t="str">
        <f t="shared" si="10"/>
        <v/>
      </c>
      <c r="F218" s="76"/>
    </row>
    <row r="219" spans="1:6" ht="15.75" x14ac:dyDescent="0.25">
      <c r="A219" s="10" t="str">
        <f t="shared" si="8"/>
        <v/>
      </c>
      <c r="B219" s="11" t="str">
        <f>IF(Definitions!$W$2,IF($G$33 &gt; ROW()-ROW($A$31),$B218+$G$41,""),"")</f>
        <v/>
      </c>
      <c r="C219" s="11" t="str">
        <f>IF(AND($G$33 &gt; ROW()-ROW($A$31),Definitions!$Y$2),$C218+$G$48,"")</f>
        <v/>
      </c>
      <c r="D219" s="11" t="str">
        <f t="shared" si="9"/>
        <v/>
      </c>
      <c r="E219" s="11" t="str">
        <f t="shared" si="10"/>
        <v/>
      </c>
      <c r="F219" s="76"/>
    </row>
    <row r="220" spans="1:6" ht="15.75" x14ac:dyDescent="0.25">
      <c r="A220" s="10" t="str">
        <f t="shared" si="8"/>
        <v/>
      </c>
      <c r="B220" s="11" t="str">
        <f>IF(Definitions!$W$2,IF($G$33 &gt; ROW()-ROW($A$31),$B219+$G$41,""),"")</f>
        <v/>
      </c>
      <c r="C220" s="11" t="str">
        <f>IF(AND($G$33 &gt; ROW()-ROW($A$31),Definitions!$Y$2),$C219+$G$48,"")</f>
        <v/>
      </c>
      <c r="D220" s="11" t="str">
        <f t="shared" si="9"/>
        <v/>
      </c>
      <c r="E220" s="11" t="str">
        <f t="shared" si="10"/>
        <v/>
      </c>
      <c r="F220" s="76"/>
    </row>
    <row r="221" spans="1:6" ht="15.75" x14ac:dyDescent="0.25">
      <c r="A221" s="10" t="str">
        <f t="shared" si="8"/>
        <v/>
      </c>
      <c r="B221" s="11" t="str">
        <f>IF(Definitions!$W$2,IF($G$33 &gt; ROW()-ROW($A$31),$B220+$G$41,""),"")</f>
        <v/>
      </c>
      <c r="C221" s="11" t="str">
        <f>IF(AND($G$33 &gt; ROW()-ROW($A$31),Definitions!$Y$2),$C220+$G$48,"")</f>
        <v/>
      </c>
      <c r="D221" s="11" t="str">
        <f t="shared" si="9"/>
        <v/>
      </c>
      <c r="E221" s="11" t="str">
        <f t="shared" si="10"/>
        <v/>
      </c>
      <c r="F221" s="76"/>
    </row>
    <row r="222" spans="1:6" ht="15.75" x14ac:dyDescent="0.25">
      <c r="A222" s="10" t="str">
        <f t="shared" si="8"/>
        <v/>
      </c>
      <c r="B222" s="11" t="str">
        <f>IF(Definitions!$W$2,IF($G$33 &gt; ROW()-ROW($A$31),$B221+$G$41,""),"")</f>
        <v/>
      </c>
      <c r="C222" s="11" t="str">
        <f>IF(AND($G$33 &gt; ROW()-ROW($A$31),Definitions!$Y$2),$C221+$G$48,"")</f>
        <v/>
      </c>
      <c r="D222" s="11" t="str">
        <f t="shared" si="9"/>
        <v/>
      </c>
      <c r="E222" s="11" t="str">
        <f t="shared" si="10"/>
        <v/>
      </c>
      <c r="F222" s="76"/>
    </row>
    <row r="223" spans="1:6" ht="15.75" x14ac:dyDescent="0.25">
      <c r="A223" s="10" t="str">
        <f t="shared" ref="A223:A280" si="11">IF($G$33 &gt; ROW()-ROW($A$31),CONCATENATE("FBG",ROW()-ROW($A$30)),"")</f>
        <v/>
      </c>
      <c r="B223" s="11" t="str">
        <f>IF(Definitions!$W$2,IF($G$33 &gt; ROW()-ROW($A$31),$B222+$G$41,""),"")</f>
        <v/>
      </c>
      <c r="C223" s="11" t="str">
        <f>IF(AND($G$33 &gt; ROW()-ROW($A$31),Definitions!$Y$2),$C222+$G$48,"")</f>
        <v/>
      </c>
      <c r="D223" s="11" t="str">
        <f t="shared" si="9"/>
        <v/>
      </c>
      <c r="E223" s="11" t="str">
        <f t="shared" si="10"/>
        <v/>
      </c>
      <c r="F223" s="76"/>
    </row>
    <row r="224" spans="1:6" ht="15.75" x14ac:dyDescent="0.25">
      <c r="A224" s="10" t="str">
        <f t="shared" si="11"/>
        <v/>
      </c>
      <c r="B224" s="11" t="str">
        <f>IF(Definitions!$W$2,IF($G$33 &gt; ROW()-ROW($A$31),$B223+$G$41,""),"")</f>
        <v/>
      </c>
      <c r="C224" s="11" t="str">
        <f>IF(AND($G$33 &gt; ROW()-ROW($A$31),Definitions!$Y$2),$C223+$G$48,"")</f>
        <v/>
      </c>
      <c r="D224" s="11" t="str">
        <f t="shared" si="9"/>
        <v/>
      </c>
      <c r="E224" s="11" t="str">
        <f t="shared" si="10"/>
        <v/>
      </c>
      <c r="F224" s="76"/>
    </row>
    <row r="225" spans="1:6" ht="15.75" x14ac:dyDescent="0.25">
      <c r="A225" s="10" t="str">
        <f t="shared" si="11"/>
        <v/>
      </c>
      <c r="B225" s="11" t="str">
        <f>IF(Definitions!$W$2,IF($G$33 &gt; ROW()-ROW($A$31),$B224+$G$41,""),"")</f>
        <v/>
      </c>
      <c r="C225" s="11" t="str">
        <f>IF(AND($G$33 &gt; ROW()-ROW($A$31),Definitions!$Y$2),$C224+$G$48,"")</f>
        <v/>
      </c>
      <c r="D225" s="11" t="str">
        <f t="shared" si="9"/>
        <v/>
      </c>
      <c r="E225" s="11" t="str">
        <f t="shared" si="10"/>
        <v/>
      </c>
      <c r="F225" s="76"/>
    </row>
    <row r="226" spans="1:6" ht="15.75" x14ac:dyDescent="0.25">
      <c r="A226" s="10" t="str">
        <f t="shared" si="11"/>
        <v/>
      </c>
      <c r="B226" s="11" t="str">
        <f>IF(Definitions!$W$2,IF($G$33 &gt; ROW()-ROW($A$31),$B225+$G$41,""),"")</f>
        <v/>
      </c>
      <c r="C226" s="11" t="str">
        <f>IF(AND($G$33 &gt; ROW()-ROW($A$31),Definitions!$Y$2),$C225+$G$48,"")</f>
        <v/>
      </c>
      <c r="D226" s="11" t="str">
        <f t="shared" si="9"/>
        <v/>
      </c>
      <c r="E226" s="11" t="str">
        <f t="shared" si="10"/>
        <v/>
      </c>
      <c r="F226" s="76"/>
    </row>
    <row r="227" spans="1:6" ht="15.75" x14ac:dyDescent="0.25">
      <c r="A227" s="10" t="str">
        <f t="shared" si="11"/>
        <v/>
      </c>
      <c r="B227" s="11" t="str">
        <f>IF(Definitions!$W$2,IF($G$33 &gt; ROW()-ROW($A$31),$B226+$G$41,""),"")</f>
        <v/>
      </c>
      <c r="C227" s="11" t="str">
        <f>IF(AND($G$33 &gt; ROW()-ROW($A$31),Definitions!$Y$2),$C226+$G$48,"")</f>
        <v/>
      </c>
      <c r="D227" s="11" t="str">
        <f t="shared" si="9"/>
        <v/>
      </c>
      <c r="E227" s="11" t="str">
        <f t="shared" si="10"/>
        <v/>
      </c>
      <c r="F227" s="76"/>
    </row>
    <row r="228" spans="1:6" ht="15.75" x14ac:dyDescent="0.25">
      <c r="A228" s="10" t="str">
        <f t="shared" si="11"/>
        <v/>
      </c>
      <c r="B228" s="11" t="str">
        <f>IF(Definitions!$W$2,IF($G$33 &gt; ROW()-ROW($A$31),$B227+$G$41,""),"")</f>
        <v/>
      </c>
      <c r="C228" s="11" t="str">
        <f>IF(AND($G$33 &gt; ROW()-ROW($A$31),Definitions!$Y$2),$C227+$G$48,"")</f>
        <v/>
      </c>
      <c r="D228" s="11" t="str">
        <f t="shared" si="9"/>
        <v/>
      </c>
      <c r="E228" s="11" t="str">
        <f t="shared" si="10"/>
        <v/>
      </c>
      <c r="F228" s="76"/>
    </row>
    <row r="229" spans="1:6" ht="15.75" x14ac:dyDescent="0.25">
      <c r="A229" s="10" t="str">
        <f t="shared" si="11"/>
        <v/>
      </c>
      <c r="B229" s="11" t="str">
        <f>IF(Definitions!$W$2,IF($G$33 &gt; ROW()-ROW($A$31),$B228+$G$41,""),"")</f>
        <v/>
      </c>
      <c r="C229" s="11" t="str">
        <f>IF(AND($G$33 &gt; ROW()-ROW($A$31),Definitions!$Y$2),$C228+$G$48,"")</f>
        <v/>
      </c>
      <c r="D229" s="11" t="str">
        <f t="shared" si="9"/>
        <v/>
      </c>
      <c r="E229" s="11" t="str">
        <f t="shared" si="10"/>
        <v/>
      </c>
      <c r="F229" s="76"/>
    </row>
    <row r="230" spans="1:6" ht="15.75" x14ac:dyDescent="0.25">
      <c r="A230" s="10" t="str">
        <f t="shared" si="11"/>
        <v/>
      </c>
      <c r="B230" s="11" t="str">
        <f>IF(Definitions!$W$2,IF($G$33 &gt; ROW()-ROW($A$31),$B229+$G$41,""),"")</f>
        <v/>
      </c>
      <c r="C230" s="11" t="str">
        <f>IF(AND($G$33 &gt; ROW()-ROW($A$31),Definitions!$Y$2),$C229+$G$48,"")</f>
        <v/>
      </c>
      <c r="D230" s="11" t="str">
        <f t="shared" si="9"/>
        <v/>
      </c>
      <c r="E230" s="11" t="str">
        <f t="shared" si="10"/>
        <v/>
      </c>
      <c r="F230" s="76"/>
    </row>
    <row r="231" spans="1:6" ht="15.75" x14ac:dyDescent="0.25">
      <c r="A231" s="10" t="str">
        <f t="shared" si="11"/>
        <v/>
      </c>
      <c r="B231" s="11" t="str">
        <f>IF(Definitions!$W$2,IF($G$33 &gt; ROW()-ROW($A$31),$B230+$G$41,""),"")</f>
        <v/>
      </c>
      <c r="C231" s="11" t="str">
        <f>IF(AND($G$33 &gt; ROW()-ROW($A$31),Definitions!$Y$2),$C230+$G$48,"")</f>
        <v/>
      </c>
      <c r="D231" s="11" t="str">
        <f t="shared" si="9"/>
        <v/>
      </c>
      <c r="E231" s="11" t="str">
        <f t="shared" si="10"/>
        <v/>
      </c>
      <c r="F231" s="76"/>
    </row>
    <row r="232" spans="1:6" ht="15.75" x14ac:dyDescent="0.25">
      <c r="A232" s="10" t="str">
        <f t="shared" si="11"/>
        <v/>
      </c>
      <c r="B232" s="11" t="str">
        <f>IF(Definitions!$W$2,IF($G$33 &gt; ROW()-ROW($A$31),$B231+$G$41,""),"")</f>
        <v/>
      </c>
      <c r="C232" s="11" t="str">
        <f>IF(AND($G$33 &gt; ROW()-ROW($A$31),Definitions!$Y$2),$C231+$G$48,"")</f>
        <v/>
      </c>
      <c r="D232" s="11" t="str">
        <f t="shared" si="9"/>
        <v/>
      </c>
      <c r="E232" s="11" t="str">
        <f t="shared" si="10"/>
        <v/>
      </c>
      <c r="F232" s="76"/>
    </row>
    <row r="233" spans="1:6" ht="15.75" x14ac:dyDescent="0.25">
      <c r="A233" s="10" t="str">
        <f t="shared" si="11"/>
        <v/>
      </c>
      <c r="B233" s="11" t="str">
        <f>IF(Definitions!$W$2,IF($G$33 &gt; ROW()-ROW($A$31),$B232+$G$41,""),"")</f>
        <v/>
      </c>
      <c r="C233" s="11" t="str">
        <f>IF(AND($G$33 &gt; ROW()-ROW($A$31),Definitions!$Y$2),$C232+$G$48,"")</f>
        <v/>
      </c>
      <c r="D233" s="11" t="str">
        <f t="shared" si="9"/>
        <v/>
      </c>
      <c r="E233" s="11" t="str">
        <f t="shared" si="10"/>
        <v/>
      </c>
      <c r="F233" s="76"/>
    </row>
    <row r="234" spans="1:6" ht="15.75" x14ac:dyDescent="0.25">
      <c r="A234" s="10" t="str">
        <f t="shared" si="11"/>
        <v/>
      </c>
      <c r="B234" s="11" t="str">
        <f>IF(Definitions!$W$2,IF($G$33 &gt; ROW()-ROW($A$31),$B233+$G$41,""),"")</f>
        <v/>
      </c>
      <c r="C234" s="11" t="str">
        <f>IF(AND($G$33 &gt; ROW()-ROW($A$31),Definitions!$Y$2),$C233+$G$48,"")</f>
        <v/>
      </c>
      <c r="D234" s="11" t="str">
        <f t="shared" si="9"/>
        <v/>
      </c>
      <c r="E234" s="11" t="str">
        <f t="shared" si="10"/>
        <v/>
      </c>
      <c r="F234" s="76"/>
    </row>
    <row r="235" spans="1:6" ht="15.75" x14ac:dyDescent="0.25">
      <c r="A235" s="10" t="str">
        <f t="shared" si="11"/>
        <v/>
      </c>
      <c r="B235" s="11" t="str">
        <f>IF(Definitions!$W$2,IF($G$33 &gt; ROW()-ROW($A$31),$B234+$G$41,""),"")</f>
        <v/>
      </c>
      <c r="C235" s="11" t="str">
        <f>IF(AND($G$33 &gt; ROW()-ROW($A$31),Definitions!$Y$2),$C234+$G$48,"")</f>
        <v/>
      </c>
      <c r="D235" s="11" t="str">
        <f t="shared" si="9"/>
        <v/>
      </c>
      <c r="E235" s="11" t="str">
        <f t="shared" si="10"/>
        <v/>
      </c>
      <c r="F235" s="76"/>
    </row>
    <row r="236" spans="1:6" ht="15.75" x14ac:dyDescent="0.25">
      <c r="A236" s="10" t="str">
        <f t="shared" si="11"/>
        <v/>
      </c>
      <c r="B236" s="11" t="str">
        <f>IF(Definitions!$W$2,IF($G$33 &gt; ROW()-ROW($A$31),$B235+$G$41,""),"")</f>
        <v/>
      </c>
      <c r="C236" s="11" t="str">
        <f>IF(AND($G$33 &gt; ROW()-ROW($A$31),Definitions!$Y$2),$C235+$G$48,"")</f>
        <v/>
      </c>
      <c r="D236" s="11" t="str">
        <f t="shared" si="9"/>
        <v/>
      </c>
      <c r="E236" s="11" t="str">
        <f t="shared" si="10"/>
        <v/>
      </c>
      <c r="F236" s="76"/>
    </row>
    <row r="237" spans="1:6" ht="15.75" x14ac:dyDescent="0.25">
      <c r="A237" s="10" t="str">
        <f t="shared" si="11"/>
        <v/>
      </c>
      <c r="B237" s="11" t="str">
        <f>IF(Definitions!$W$2,IF($G$33 &gt; ROW()-ROW($A$31),$B236+$G$41,""),"")</f>
        <v/>
      </c>
      <c r="C237" s="11" t="str">
        <f>IF(AND($G$33 &gt; ROW()-ROW($A$31),Definitions!$Y$2),$C236+$G$48,"")</f>
        <v/>
      </c>
      <c r="D237" s="11" t="str">
        <f t="shared" si="9"/>
        <v/>
      </c>
      <c r="E237" s="11" t="str">
        <f t="shared" si="10"/>
        <v/>
      </c>
      <c r="F237" s="76"/>
    </row>
    <row r="238" spans="1:6" ht="15.75" x14ac:dyDescent="0.25">
      <c r="A238" s="10" t="str">
        <f t="shared" si="11"/>
        <v/>
      </c>
      <c r="B238" s="11" t="str">
        <f>IF(Definitions!$W$2,IF($G$33 &gt; ROW()-ROW($A$31),$B237+$G$41,""),"")</f>
        <v/>
      </c>
      <c r="C238" s="11" t="str">
        <f>IF(AND($G$33 &gt; ROW()-ROW($A$31),Definitions!$Y$2),$C237+$G$48,"")</f>
        <v/>
      </c>
      <c r="D238" s="11" t="str">
        <f t="shared" si="9"/>
        <v/>
      </c>
      <c r="E238" s="11" t="str">
        <f t="shared" si="10"/>
        <v/>
      </c>
      <c r="F238" s="76"/>
    </row>
    <row r="239" spans="1:6" ht="15.75" x14ac:dyDescent="0.25">
      <c r="A239" s="10" t="str">
        <f t="shared" si="11"/>
        <v/>
      </c>
      <c r="B239" s="11" t="str">
        <f>IF(Definitions!$W$2,IF($G$33 &gt; ROW()-ROW($A$31),$B238+$G$41,""),"")</f>
        <v/>
      </c>
      <c r="C239" s="11" t="str">
        <f>IF(AND($G$33 &gt; ROW()-ROW($A$31),Definitions!$Y$2),$C238+$G$48,"")</f>
        <v/>
      </c>
      <c r="D239" s="11" t="str">
        <f t="shared" si="9"/>
        <v/>
      </c>
      <c r="E239" s="11" t="str">
        <f t="shared" si="10"/>
        <v/>
      </c>
      <c r="F239" s="76"/>
    </row>
    <row r="240" spans="1:6" ht="15.75" x14ac:dyDescent="0.25">
      <c r="A240" s="10" t="str">
        <f t="shared" si="11"/>
        <v/>
      </c>
      <c r="B240" s="11" t="str">
        <f>IF(Definitions!$W$2,IF($G$33 &gt; ROW()-ROW($A$31),$B239+$G$41,""),"")</f>
        <v/>
      </c>
      <c r="C240" s="11" t="str">
        <f>IF(AND($G$33 &gt; ROW()-ROW($A$31),Definitions!$Y$2),$C239+$G$48,"")</f>
        <v/>
      </c>
      <c r="D240" s="11" t="str">
        <f t="shared" si="9"/>
        <v/>
      </c>
      <c r="E240" s="11" t="str">
        <f t="shared" si="10"/>
        <v/>
      </c>
      <c r="F240" s="76"/>
    </row>
    <row r="241" spans="1:6" ht="15.75" x14ac:dyDescent="0.25">
      <c r="A241" s="10" t="str">
        <f t="shared" si="11"/>
        <v/>
      </c>
      <c r="B241" s="11" t="str">
        <f>IF(Definitions!$W$2,IF($G$33 &gt; ROW()-ROW($A$31),$B240+$G$41,""),"")</f>
        <v/>
      </c>
      <c r="C241" s="11" t="str">
        <f>IF(AND($G$33 &gt; ROW()-ROW($A$31),Definitions!$Y$2),$C240+$G$48,"")</f>
        <v/>
      </c>
      <c r="D241" s="11" t="str">
        <f t="shared" si="9"/>
        <v/>
      </c>
      <c r="E241" s="11" t="str">
        <f t="shared" si="10"/>
        <v/>
      </c>
      <c r="F241" s="76"/>
    </row>
    <row r="242" spans="1:6" ht="15.75" x14ac:dyDescent="0.25">
      <c r="A242" s="10" t="str">
        <f t="shared" si="11"/>
        <v/>
      </c>
      <c r="B242" s="11" t="str">
        <f>IF(Definitions!$W$2,IF($G$33 &gt; ROW()-ROW($A$31),$B241+$G$41,""),"")</f>
        <v/>
      </c>
      <c r="C242" s="11" t="str">
        <f>IF(AND($G$33 &gt; ROW()-ROW($A$31),Definitions!$Y$2),$C241+$G$48,"")</f>
        <v/>
      </c>
      <c r="D242" s="11" t="str">
        <f t="shared" si="9"/>
        <v/>
      </c>
      <c r="E242" s="11" t="str">
        <f t="shared" si="10"/>
        <v/>
      </c>
      <c r="F242" s="76"/>
    </row>
    <row r="243" spans="1:6" ht="15.75" x14ac:dyDescent="0.25">
      <c r="A243" s="10" t="str">
        <f t="shared" si="11"/>
        <v/>
      </c>
      <c r="B243" s="11" t="str">
        <f>IF(Definitions!$W$2,IF($G$33 &gt; ROW()-ROW($A$31),$B242+$G$41,""),"")</f>
        <v/>
      </c>
      <c r="C243" s="11" t="str">
        <f>IF(AND($G$33 &gt; ROW()-ROW($A$31),Definitions!$Y$2),$C242+$G$48,"")</f>
        <v/>
      </c>
      <c r="D243" s="11" t="str">
        <f t="shared" si="9"/>
        <v/>
      </c>
      <c r="E243" s="11" t="str">
        <f t="shared" si="10"/>
        <v/>
      </c>
      <c r="F243" s="76"/>
    </row>
    <row r="244" spans="1:6" ht="15.75" x14ac:dyDescent="0.25">
      <c r="A244" s="10" t="str">
        <f t="shared" si="11"/>
        <v/>
      </c>
      <c r="B244" s="11" t="str">
        <f>IF(Definitions!$W$2,IF($G$33 &gt; ROW()-ROW($A$31),$B243+$G$41,""),"")</f>
        <v/>
      </c>
      <c r="C244" s="11" t="str">
        <f>IF(AND($G$33 &gt; ROW()-ROW($A$31),Definitions!$Y$2),$C243+$G$48,"")</f>
        <v/>
      </c>
      <c r="D244" s="11" t="str">
        <f t="shared" si="9"/>
        <v/>
      </c>
      <c r="E244" s="11" t="str">
        <f t="shared" si="10"/>
        <v/>
      </c>
      <c r="F244" s="76"/>
    </row>
    <row r="245" spans="1:6" ht="15.75" x14ac:dyDescent="0.25">
      <c r="A245" s="10" t="str">
        <f t="shared" si="11"/>
        <v/>
      </c>
      <c r="B245" s="11" t="str">
        <f>IF(Definitions!$W$2,IF($G$33 &gt; ROW()-ROW($A$31),$B244+$G$41,""),"")</f>
        <v/>
      </c>
      <c r="C245" s="11" t="str">
        <f>IF(AND($G$33 &gt; ROW()-ROW($A$31),Definitions!$Y$2),$C244+$G$48,"")</f>
        <v/>
      </c>
      <c r="D245" s="11" t="str">
        <f t="shared" si="9"/>
        <v/>
      </c>
      <c r="E245" s="11" t="str">
        <f t="shared" si="10"/>
        <v/>
      </c>
      <c r="F245" s="76"/>
    </row>
    <row r="246" spans="1:6" ht="15.75" x14ac:dyDescent="0.25">
      <c r="A246" s="10" t="str">
        <f t="shared" si="11"/>
        <v/>
      </c>
      <c r="B246" s="11" t="str">
        <f>IF(Definitions!$W$2,IF($G$33 &gt; ROW()-ROW($A$31),$B245+$G$41,""),"")</f>
        <v/>
      </c>
      <c r="C246" s="11" t="str">
        <f>IF(AND($G$33 &gt; ROW()-ROW($A$31),Definitions!$Y$2),$C245+$G$48,"")</f>
        <v/>
      </c>
      <c r="D246" s="11" t="str">
        <f t="shared" si="9"/>
        <v/>
      </c>
      <c r="E246" s="11" t="str">
        <f t="shared" si="10"/>
        <v/>
      </c>
      <c r="F246" s="76"/>
    </row>
    <row r="247" spans="1:6" ht="15.75" x14ac:dyDescent="0.25">
      <c r="A247" s="10" t="str">
        <f t="shared" si="11"/>
        <v/>
      </c>
      <c r="B247" s="11" t="str">
        <f>IF(Definitions!$W$2,IF($G$33 &gt; ROW()-ROW($A$31),$B246+$G$41,""),"")</f>
        <v/>
      </c>
      <c r="C247" s="11" t="str">
        <f>IF(AND($G$33 &gt; ROW()-ROW($A$31),Definitions!$Y$2),$C246+$G$48,"")</f>
        <v/>
      </c>
      <c r="D247" s="11" t="str">
        <f t="shared" si="9"/>
        <v/>
      </c>
      <c r="E247" s="11" t="str">
        <f t="shared" si="10"/>
        <v/>
      </c>
      <c r="F247" s="76"/>
    </row>
    <row r="248" spans="1:6" ht="15.75" x14ac:dyDescent="0.25">
      <c r="A248" s="10" t="str">
        <f t="shared" si="11"/>
        <v/>
      </c>
      <c r="B248" s="11" t="str">
        <f>IF(Definitions!$W$2,IF($G$33 &gt; ROW()-ROW($A$31),$B247+$G$41,""),"")</f>
        <v/>
      </c>
      <c r="C248" s="11" t="str">
        <f>IF(AND($G$33 &gt; ROW()-ROW($A$31),Definitions!$Y$2),$C247+$G$48,"")</f>
        <v/>
      </c>
      <c r="D248" s="11" t="str">
        <f t="shared" si="9"/>
        <v/>
      </c>
      <c r="E248" s="11" t="str">
        <f t="shared" si="10"/>
        <v/>
      </c>
      <c r="F248" s="76"/>
    </row>
    <row r="249" spans="1:6" ht="15.75" x14ac:dyDescent="0.25">
      <c r="A249" s="10" t="str">
        <f t="shared" si="11"/>
        <v/>
      </c>
      <c r="B249" s="11" t="str">
        <f>IF(Definitions!$W$2,IF($G$33 &gt; ROW()-ROW($A$31),$B248+$G$41,""),"")</f>
        <v/>
      </c>
      <c r="C249" s="11" t="str">
        <f>IF(AND($G$33 &gt; ROW()-ROW($A$31),Definitions!$Y$2),$C248+$G$48,"")</f>
        <v/>
      </c>
      <c r="D249" s="11" t="str">
        <f t="shared" si="9"/>
        <v/>
      </c>
      <c r="E249" s="11" t="str">
        <f t="shared" si="10"/>
        <v/>
      </c>
      <c r="F249" s="76"/>
    </row>
    <row r="250" spans="1:6" ht="15.75" x14ac:dyDescent="0.25">
      <c r="A250" s="10" t="str">
        <f t="shared" si="11"/>
        <v/>
      </c>
      <c r="B250" s="11" t="str">
        <f>IF(Definitions!$W$2,IF($G$33 &gt; ROW()-ROW($A$31),$B249+$G$41,""),"")</f>
        <v/>
      </c>
      <c r="C250" s="11" t="str">
        <f>IF(AND($G$33 &gt; ROW()-ROW($A$31),Definitions!$Y$2),$C249+$G$48,"")</f>
        <v/>
      </c>
      <c r="D250" s="11" t="str">
        <f t="shared" si="9"/>
        <v/>
      </c>
      <c r="E250" s="11" t="str">
        <f t="shared" si="10"/>
        <v/>
      </c>
      <c r="F250" s="76"/>
    </row>
    <row r="251" spans="1:6" ht="15.75" x14ac:dyDescent="0.25">
      <c r="A251" s="10" t="str">
        <f t="shared" si="11"/>
        <v/>
      </c>
      <c r="B251" s="11" t="str">
        <f>IF(Definitions!$W$2,IF($G$33 &gt; ROW()-ROW($A$31),$B250+$G$41,""),"")</f>
        <v/>
      </c>
      <c r="C251" s="11" t="str">
        <f>IF(AND($G$33 &gt; ROW()-ROW($A$31),Definitions!$Y$2),$C250+$G$48,"")</f>
        <v/>
      </c>
      <c r="D251" s="11" t="str">
        <f t="shared" si="9"/>
        <v/>
      </c>
      <c r="E251" s="11" t="str">
        <f t="shared" si="10"/>
        <v/>
      </c>
      <c r="F251" s="76"/>
    </row>
    <row r="252" spans="1:6" ht="15.75" x14ac:dyDescent="0.25">
      <c r="A252" s="10" t="str">
        <f t="shared" si="11"/>
        <v/>
      </c>
      <c r="B252" s="11" t="str">
        <f>IF(Definitions!$W$2,IF($G$33 &gt; ROW()-ROW($A$31),$B251+$G$41,""),"")</f>
        <v/>
      </c>
      <c r="C252" s="11" t="str">
        <f>IF(AND($G$33 &gt; ROW()-ROW($A$31),Definitions!$Y$2),$C251+$G$48,"")</f>
        <v/>
      </c>
      <c r="D252" s="11" t="str">
        <f t="shared" si="9"/>
        <v/>
      </c>
      <c r="E252" s="11" t="str">
        <f t="shared" si="10"/>
        <v/>
      </c>
      <c r="F252" s="76"/>
    </row>
    <row r="253" spans="1:6" ht="15.75" x14ac:dyDescent="0.25">
      <c r="A253" s="10" t="str">
        <f t="shared" si="11"/>
        <v/>
      </c>
      <c r="B253" s="11" t="str">
        <f>IF(Definitions!$W$2,IF($G$33 &gt; ROW()-ROW($A$31),$B252+$G$41,""),"")</f>
        <v/>
      </c>
      <c r="C253" s="11" t="str">
        <f>IF(AND($G$33 &gt; ROW()-ROW($A$31),Definitions!$Y$2),$C252+$G$48,"")</f>
        <v/>
      </c>
      <c r="D253" s="11" t="str">
        <f t="shared" ref="D253:D280" si="12">IF(ISNUMBER(C253),$C$27-$C253,"")</f>
        <v/>
      </c>
      <c r="E253" s="11" t="str">
        <f t="shared" ref="E253:E280" si="13">IF(ISNUMBER(C253),C253-C252,"")</f>
        <v/>
      </c>
      <c r="F253" s="76"/>
    </row>
    <row r="254" spans="1:6" ht="15.75" x14ac:dyDescent="0.25">
      <c r="A254" s="10" t="str">
        <f t="shared" si="11"/>
        <v/>
      </c>
      <c r="B254" s="11" t="str">
        <f>IF(Definitions!$W$2,IF($G$33 &gt; ROW()-ROW($A$31),$B253+$G$41,""),"")</f>
        <v/>
      </c>
      <c r="C254" s="11" t="str">
        <f>IF(AND($G$33 &gt; ROW()-ROW($A$31),Definitions!$Y$2),$C253+$G$48,"")</f>
        <v/>
      </c>
      <c r="D254" s="11" t="str">
        <f t="shared" si="12"/>
        <v/>
      </c>
      <c r="E254" s="11" t="str">
        <f t="shared" si="13"/>
        <v/>
      </c>
      <c r="F254" s="76"/>
    </row>
    <row r="255" spans="1:6" ht="15.75" x14ac:dyDescent="0.25">
      <c r="A255" s="10" t="str">
        <f t="shared" si="11"/>
        <v/>
      </c>
      <c r="B255" s="11" t="str">
        <f>IF(Definitions!$W$2,IF($G$33 &gt; ROW()-ROW($A$31),$B254+$G$41,""),"")</f>
        <v/>
      </c>
      <c r="C255" s="11" t="str">
        <f>IF(AND($G$33 &gt; ROW()-ROW($A$31),Definitions!$Y$2),$C254+$G$48,"")</f>
        <v/>
      </c>
      <c r="D255" s="11" t="str">
        <f t="shared" si="12"/>
        <v/>
      </c>
      <c r="E255" s="11" t="str">
        <f t="shared" si="13"/>
        <v/>
      </c>
      <c r="F255" s="76"/>
    </row>
    <row r="256" spans="1:6" ht="15.75" x14ac:dyDescent="0.25">
      <c r="A256" s="10" t="str">
        <f t="shared" si="11"/>
        <v/>
      </c>
      <c r="B256" s="11" t="str">
        <f>IF(Definitions!$W$2,IF($G$33 &gt; ROW()-ROW($A$31),$B255+$G$41,""),"")</f>
        <v/>
      </c>
      <c r="C256" s="11" t="str">
        <f>IF(AND($G$33 &gt; ROW()-ROW($A$31),Definitions!$Y$2),$C255+$G$48,"")</f>
        <v/>
      </c>
      <c r="D256" s="11" t="str">
        <f t="shared" si="12"/>
        <v/>
      </c>
      <c r="E256" s="11" t="str">
        <f t="shared" si="13"/>
        <v/>
      </c>
      <c r="F256" s="76"/>
    </row>
    <row r="257" spans="1:6" ht="15.75" x14ac:dyDescent="0.25">
      <c r="A257" s="10" t="str">
        <f t="shared" si="11"/>
        <v/>
      </c>
      <c r="B257" s="11" t="str">
        <f>IF(Definitions!$W$2,IF($G$33 &gt; ROW()-ROW($A$31),$B256+$G$41,""),"")</f>
        <v/>
      </c>
      <c r="C257" s="11" t="str">
        <f>IF(AND($G$33 &gt; ROW()-ROW($A$31),Definitions!$Y$2),$C256+$G$48,"")</f>
        <v/>
      </c>
      <c r="D257" s="11" t="str">
        <f t="shared" si="12"/>
        <v/>
      </c>
      <c r="E257" s="11" t="str">
        <f t="shared" si="13"/>
        <v/>
      </c>
      <c r="F257" s="76"/>
    </row>
    <row r="258" spans="1:6" ht="15.75" x14ac:dyDescent="0.25">
      <c r="A258" s="10" t="str">
        <f t="shared" si="11"/>
        <v/>
      </c>
      <c r="B258" s="11" t="str">
        <f>IF(Definitions!$W$2,IF($G$33 &gt; ROW()-ROW($A$31),$B257+$G$41,""),"")</f>
        <v/>
      </c>
      <c r="C258" s="11" t="str">
        <f>IF(AND($G$33 &gt; ROW()-ROW($A$31),Definitions!$Y$2),$C257+$G$48,"")</f>
        <v/>
      </c>
      <c r="D258" s="11" t="str">
        <f t="shared" si="12"/>
        <v/>
      </c>
      <c r="E258" s="11" t="str">
        <f t="shared" si="13"/>
        <v/>
      </c>
      <c r="F258" s="76"/>
    </row>
    <row r="259" spans="1:6" ht="15.75" x14ac:dyDescent="0.25">
      <c r="A259" s="10" t="str">
        <f t="shared" si="11"/>
        <v/>
      </c>
      <c r="B259" s="11" t="str">
        <f>IF(Definitions!$W$2,IF($G$33 &gt; ROW()-ROW($A$31),$B258+$G$41,""),"")</f>
        <v/>
      </c>
      <c r="C259" s="11" t="str">
        <f>IF(AND($G$33 &gt; ROW()-ROW($A$31),Definitions!$Y$2),$C258+$G$48,"")</f>
        <v/>
      </c>
      <c r="D259" s="11" t="str">
        <f t="shared" si="12"/>
        <v/>
      </c>
      <c r="E259" s="11" t="str">
        <f t="shared" si="13"/>
        <v/>
      </c>
      <c r="F259" s="76"/>
    </row>
    <row r="260" spans="1:6" ht="15.75" x14ac:dyDescent="0.25">
      <c r="A260" s="10" t="str">
        <f t="shared" si="11"/>
        <v/>
      </c>
      <c r="B260" s="11" t="str">
        <f>IF(Definitions!$W$2,IF($G$33 &gt; ROW()-ROW($A$31),$B259+$G$41,""),"")</f>
        <v/>
      </c>
      <c r="C260" s="11" t="str">
        <f>IF(AND($G$33 &gt; ROW()-ROW($A$31),Definitions!$Y$2),$C259+$G$48,"")</f>
        <v/>
      </c>
      <c r="D260" s="11" t="str">
        <f t="shared" si="12"/>
        <v/>
      </c>
      <c r="E260" s="11" t="str">
        <f t="shared" si="13"/>
        <v/>
      </c>
      <c r="F260" s="76"/>
    </row>
    <row r="261" spans="1:6" ht="15.75" x14ac:dyDescent="0.25">
      <c r="A261" s="10" t="str">
        <f t="shared" si="11"/>
        <v/>
      </c>
      <c r="B261" s="11" t="str">
        <f>IF(Definitions!$W$2,IF($G$33 &gt; ROW()-ROW($A$31),$B260+$G$41,""),"")</f>
        <v/>
      </c>
      <c r="C261" s="11" t="str">
        <f>IF(AND($G$33 &gt; ROW()-ROW($A$31),Definitions!$Y$2),$C260+$G$48,"")</f>
        <v/>
      </c>
      <c r="D261" s="11" t="str">
        <f t="shared" si="12"/>
        <v/>
      </c>
      <c r="E261" s="11" t="str">
        <f t="shared" si="13"/>
        <v/>
      </c>
      <c r="F261" s="76"/>
    </row>
    <row r="262" spans="1:6" ht="15.75" x14ac:dyDescent="0.25">
      <c r="A262" s="10" t="str">
        <f t="shared" si="11"/>
        <v/>
      </c>
      <c r="B262" s="11" t="str">
        <f>IF(Definitions!$W$2,IF($G$33 &gt; ROW()-ROW($A$31),$B261+$G$41,""),"")</f>
        <v/>
      </c>
      <c r="C262" s="11" t="str">
        <f>IF(AND($G$33 &gt; ROW()-ROW($A$31),Definitions!$Y$2),$C261+$G$48,"")</f>
        <v/>
      </c>
      <c r="D262" s="11" t="str">
        <f t="shared" si="12"/>
        <v/>
      </c>
      <c r="E262" s="11" t="str">
        <f t="shared" si="13"/>
        <v/>
      </c>
      <c r="F262" s="76"/>
    </row>
    <row r="263" spans="1:6" ht="15.75" x14ac:dyDescent="0.25">
      <c r="A263" s="10" t="str">
        <f t="shared" si="11"/>
        <v/>
      </c>
      <c r="B263" s="11" t="str">
        <f>IF(Definitions!$W$2,IF($G$33 &gt; ROW()-ROW($A$31),$B262+$G$41,""),"")</f>
        <v/>
      </c>
      <c r="C263" s="11" t="str">
        <f>IF(AND($G$33 &gt; ROW()-ROW($A$31),Definitions!$Y$2),$C262+$G$48,"")</f>
        <v/>
      </c>
      <c r="D263" s="11" t="str">
        <f t="shared" si="12"/>
        <v/>
      </c>
      <c r="E263" s="11" t="str">
        <f t="shared" si="13"/>
        <v/>
      </c>
      <c r="F263" s="76"/>
    </row>
    <row r="264" spans="1:6" ht="15.75" x14ac:dyDescent="0.25">
      <c r="A264" s="10" t="str">
        <f t="shared" si="11"/>
        <v/>
      </c>
      <c r="B264" s="11" t="str">
        <f>IF(Definitions!$W$2,IF($G$33 &gt; ROW()-ROW($A$31),$B263+$G$41,""),"")</f>
        <v/>
      </c>
      <c r="C264" s="11" t="str">
        <f>IF(AND($G$33 &gt; ROW()-ROW($A$31),Definitions!$Y$2),$C263+$G$48,"")</f>
        <v/>
      </c>
      <c r="D264" s="11" t="str">
        <f t="shared" si="12"/>
        <v/>
      </c>
      <c r="E264" s="11" t="str">
        <f t="shared" si="13"/>
        <v/>
      </c>
      <c r="F264" s="76"/>
    </row>
    <row r="265" spans="1:6" ht="15.75" x14ac:dyDescent="0.25">
      <c r="A265" s="10" t="str">
        <f t="shared" si="11"/>
        <v/>
      </c>
      <c r="B265" s="11" t="str">
        <f>IF(Definitions!$W$2,IF($G$33 &gt; ROW()-ROW($A$31),$B264+$G$41,""),"")</f>
        <v/>
      </c>
      <c r="C265" s="11" t="str">
        <f>IF(AND($G$33 &gt; ROW()-ROW($A$31),Definitions!$Y$2),$C264+$G$48,"")</f>
        <v/>
      </c>
      <c r="D265" s="11" t="str">
        <f t="shared" si="12"/>
        <v/>
      </c>
      <c r="E265" s="11" t="str">
        <f t="shared" si="13"/>
        <v/>
      </c>
      <c r="F265" s="76"/>
    </row>
    <row r="266" spans="1:6" ht="15.75" x14ac:dyDescent="0.25">
      <c r="A266" s="10" t="str">
        <f t="shared" si="11"/>
        <v/>
      </c>
      <c r="B266" s="11" t="str">
        <f>IF(Definitions!$W$2,IF($G$33 &gt; ROW()-ROW($A$31),$B265+$G$41,""),"")</f>
        <v/>
      </c>
      <c r="C266" s="11" t="str">
        <f>IF(AND($G$33 &gt; ROW()-ROW($A$31),Definitions!$Y$2),$C265+$G$48,"")</f>
        <v/>
      </c>
      <c r="D266" s="11" t="str">
        <f t="shared" si="12"/>
        <v/>
      </c>
      <c r="E266" s="11" t="str">
        <f t="shared" si="13"/>
        <v/>
      </c>
      <c r="F266" s="76"/>
    </row>
    <row r="267" spans="1:6" ht="15.75" x14ac:dyDescent="0.25">
      <c r="A267" s="10" t="str">
        <f t="shared" si="11"/>
        <v/>
      </c>
      <c r="B267" s="11" t="str">
        <f>IF(Definitions!$W$2,IF($G$33 &gt; ROW()-ROW($A$31),$B266+$G$41,""),"")</f>
        <v/>
      </c>
      <c r="C267" s="11" t="str">
        <f>IF(AND($G$33 &gt; ROW()-ROW($A$31),Definitions!$Y$2),$C266+$G$48,"")</f>
        <v/>
      </c>
      <c r="D267" s="11" t="str">
        <f t="shared" si="12"/>
        <v/>
      </c>
      <c r="E267" s="11" t="str">
        <f t="shared" si="13"/>
        <v/>
      </c>
      <c r="F267" s="76"/>
    </row>
    <row r="268" spans="1:6" ht="15.75" x14ac:dyDescent="0.25">
      <c r="A268" s="10" t="str">
        <f t="shared" si="11"/>
        <v/>
      </c>
      <c r="B268" s="11" t="str">
        <f>IF(Definitions!$W$2,IF($G$33 &gt; ROW()-ROW($A$31),$B267+$G$41,""),"")</f>
        <v/>
      </c>
      <c r="C268" s="11" t="str">
        <f>IF(AND($G$33 &gt; ROW()-ROW($A$31),Definitions!$Y$2),$C267+$G$48,"")</f>
        <v/>
      </c>
      <c r="D268" s="11" t="str">
        <f t="shared" si="12"/>
        <v/>
      </c>
      <c r="E268" s="11" t="str">
        <f t="shared" si="13"/>
        <v/>
      </c>
      <c r="F268" s="76"/>
    </row>
    <row r="269" spans="1:6" ht="15.75" x14ac:dyDescent="0.25">
      <c r="A269" s="10" t="str">
        <f t="shared" si="11"/>
        <v/>
      </c>
      <c r="B269" s="11" t="str">
        <f>IF(Definitions!$W$2,IF($G$33 &gt; ROW()-ROW($A$31),$B268+$G$41,""),"")</f>
        <v/>
      </c>
      <c r="C269" s="11" t="str">
        <f>IF(AND($G$33 &gt; ROW()-ROW($A$31),Definitions!$Y$2),$C268+$G$48,"")</f>
        <v/>
      </c>
      <c r="D269" s="11" t="str">
        <f t="shared" si="12"/>
        <v/>
      </c>
      <c r="E269" s="11" t="str">
        <f t="shared" si="13"/>
        <v/>
      </c>
      <c r="F269" s="76"/>
    </row>
    <row r="270" spans="1:6" ht="15.75" x14ac:dyDescent="0.25">
      <c r="A270" s="10" t="str">
        <f t="shared" si="11"/>
        <v/>
      </c>
      <c r="B270" s="11" t="str">
        <f>IF(Definitions!$W$2,IF($G$33 &gt; ROW()-ROW($A$31),$B269+$G$41,""),"")</f>
        <v/>
      </c>
      <c r="C270" s="11" t="str">
        <f>IF(AND($G$33 &gt; ROW()-ROW($A$31),Definitions!$Y$2),$C269+$G$48,"")</f>
        <v/>
      </c>
      <c r="D270" s="11" t="str">
        <f t="shared" si="12"/>
        <v/>
      </c>
      <c r="E270" s="11" t="str">
        <f t="shared" si="13"/>
        <v/>
      </c>
      <c r="F270" s="76"/>
    </row>
    <row r="271" spans="1:6" ht="15.75" x14ac:dyDescent="0.25">
      <c r="A271" s="10" t="str">
        <f t="shared" si="11"/>
        <v/>
      </c>
      <c r="B271" s="11" t="str">
        <f>IF(Definitions!$W$2,IF($G$33 &gt; ROW()-ROW($A$31),$B270+$G$41,""),"")</f>
        <v/>
      </c>
      <c r="C271" s="11" t="str">
        <f>IF(AND($G$33 &gt; ROW()-ROW($A$31),Definitions!$Y$2),$C270+$G$48,"")</f>
        <v/>
      </c>
      <c r="D271" s="11" t="str">
        <f t="shared" si="12"/>
        <v/>
      </c>
      <c r="E271" s="11" t="str">
        <f t="shared" si="13"/>
        <v/>
      </c>
      <c r="F271" s="76"/>
    </row>
    <row r="272" spans="1:6" ht="15.75" x14ac:dyDescent="0.25">
      <c r="A272" s="10" t="str">
        <f t="shared" si="11"/>
        <v/>
      </c>
      <c r="B272" s="11" t="str">
        <f>IF(Definitions!$W$2,IF($G$33 &gt; ROW()-ROW($A$31),$B271+$G$41,""),"")</f>
        <v/>
      </c>
      <c r="C272" s="11" t="str">
        <f>IF(AND($G$33 &gt; ROW()-ROW($A$31),Definitions!$Y$2),$C271+$G$48,"")</f>
        <v/>
      </c>
      <c r="D272" s="11" t="str">
        <f t="shared" si="12"/>
        <v/>
      </c>
      <c r="E272" s="11" t="str">
        <f t="shared" si="13"/>
        <v/>
      </c>
      <c r="F272" s="76"/>
    </row>
    <row r="273" spans="1:8" ht="15.75" x14ac:dyDescent="0.25">
      <c r="A273" s="10" t="str">
        <f t="shared" si="11"/>
        <v/>
      </c>
      <c r="B273" s="11" t="str">
        <f>IF(Definitions!$W$2,IF($G$33 &gt; ROW()-ROW($A$31),$B272+$G$41,""),"")</f>
        <v/>
      </c>
      <c r="C273" s="11" t="str">
        <f>IF(AND($G$33 &gt; ROW()-ROW($A$31),Definitions!$Y$2),$C272+$G$48,"")</f>
        <v/>
      </c>
      <c r="D273" s="11" t="str">
        <f t="shared" si="12"/>
        <v/>
      </c>
      <c r="E273" s="11" t="str">
        <f t="shared" si="13"/>
        <v/>
      </c>
      <c r="F273" s="76"/>
    </row>
    <row r="274" spans="1:8" ht="15.75" x14ac:dyDescent="0.25">
      <c r="A274" s="10" t="str">
        <f t="shared" si="11"/>
        <v/>
      </c>
      <c r="B274" s="11" t="str">
        <f>IF(Definitions!$W$2,IF($G$33 &gt; ROW()-ROW($A$31),$B273+$G$41,""),"")</f>
        <v/>
      </c>
      <c r="C274" s="11" t="str">
        <f>IF(AND($G$33 &gt; ROW()-ROW($A$31),Definitions!$Y$2),$C273+$G$48,"")</f>
        <v/>
      </c>
      <c r="D274" s="11" t="str">
        <f t="shared" si="12"/>
        <v/>
      </c>
      <c r="E274" s="11" t="str">
        <f t="shared" si="13"/>
        <v/>
      </c>
      <c r="F274" s="76"/>
    </row>
    <row r="275" spans="1:8" ht="15.75" x14ac:dyDescent="0.25">
      <c r="A275" s="10" t="str">
        <f t="shared" si="11"/>
        <v/>
      </c>
      <c r="B275" s="11" t="str">
        <f>IF(Definitions!$W$2,IF($G$33 &gt; ROW()-ROW($A$31),$B274+$G$41,""),"")</f>
        <v/>
      </c>
      <c r="C275" s="11" t="str">
        <f>IF(AND($G$33 &gt; ROW()-ROW($A$31),Definitions!$Y$2),$C274+$G$48,"")</f>
        <v/>
      </c>
      <c r="D275" s="11" t="str">
        <f t="shared" si="12"/>
        <v/>
      </c>
      <c r="E275" s="11" t="str">
        <f t="shared" si="13"/>
        <v/>
      </c>
      <c r="F275" s="76"/>
    </row>
    <row r="276" spans="1:8" ht="15.75" x14ac:dyDescent="0.25">
      <c r="A276" s="10" t="str">
        <f t="shared" si="11"/>
        <v/>
      </c>
      <c r="B276" s="11" t="str">
        <f>IF(Definitions!$W$2,IF($G$33 &gt; ROW()-ROW($A$31),$B275+$G$41,""),"")</f>
        <v/>
      </c>
      <c r="C276" s="11" t="str">
        <f>IF(AND($G$33 &gt; ROW()-ROW($A$31),Definitions!$Y$2),$C275+$G$48,"")</f>
        <v/>
      </c>
      <c r="D276" s="11" t="str">
        <f t="shared" si="12"/>
        <v/>
      </c>
      <c r="E276" s="11" t="str">
        <f t="shared" si="13"/>
        <v/>
      </c>
      <c r="F276" s="76"/>
    </row>
    <row r="277" spans="1:8" ht="15.75" x14ac:dyDescent="0.25">
      <c r="A277" s="10" t="str">
        <f t="shared" si="11"/>
        <v/>
      </c>
      <c r="B277" s="11" t="str">
        <f>IF(Definitions!$W$2,IF($G$33 &gt; ROW()-ROW($A$31),$B276+$G$41,""),"")</f>
        <v/>
      </c>
      <c r="C277" s="11" t="str">
        <f>IF(AND($G$33 &gt; ROW()-ROW($A$31),Definitions!$Y$2),$C276+$G$48,"")</f>
        <v/>
      </c>
      <c r="D277" s="11" t="str">
        <f t="shared" si="12"/>
        <v/>
      </c>
      <c r="E277" s="11" t="str">
        <f t="shared" si="13"/>
        <v/>
      </c>
      <c r="F277" s="76"/>
    </row>
    <row r="278" spans="1:8" ht="15.75" x14ac:dyDescent="0.25">
      <c r="A278" s="10" t="str">
        <f t="shared" si="11"/>
        <v/>
      </c>
      <c r="B278" s="11" t="str">
        <f>IF(Definitions!$W$2,IF($G$33 &gt; ROW()-ROW($A$31),$B277+$G$41,""),"")</f>
        <v/>
      </c>
      <c r="C278" s="11" t="str">
        <f>IF(AND($G$33 &gt; ROW()-ROW($A$31),Definitions!$Y$2),$C277+$G$48,"")</f>
        <v/>
      </c>
      <c r="D278" s="11" t="str">
        <f t="shared" si="12"/>
        <v/>
      </c>
      <c r="E278" s="11" t="str">
        <f t="shared" si="13"/>
        <v/>
      </c>
      <c r="F278" s="76"/>
    </row>
    <row r="279" spans="1:8" ht="15.75" x14ac:dyDescent="0.25">
      <c r="A279" s="10" t="str">
        <f t="shared" si="11"/>
        <v/>
      </c>
      <c r="B279" s="11" t="str">
        <f>IF(Definitions!$W$2,IF($G$33 &gt; ROW()-ROW($A$31),$B278+$G$41,""),"")</f>
        <v/>
      </c>
      <c r="C279" s="11" t="str">
        <f>IF(AND($G$33 &gt; ROW()-ROW($A$31),Definitions!$Y$2),$C278+$G$48,"")</f>
        <v/>
      </c>
      <c r="D279" s="11" t="str">
        <f t="shared" si="12"/>
        <v/>
      </c>
      <c r="E279" s="11" t="str">
        <f t="shared" si="13"/>
        <v/>
      </c>
      <c r="F279" s="76"/>
    </row>
    <row r="280" spans="1:8" ht="15.75" x14ac:dyDescent="0.25">
      <c r="A280" s="10" t="str">
        <f t="shared" si="11"/>
        <v/>
      </c>
      <c r="B280" s="11" t="str">
        <f>IF(Definitions!$W$2,IF($G$33 &gt; ROW()-ROW($A$31),$B279+$G$41,""),"")</f>
        <v/>
      </c>
      <c r="C280" s="11" t="str">
        <f>IF(AND($G$33 &gt; ROW()-ROW($A$31),Definitions!$Y$2),$C279+$G$48,"")</f>
        <v/>
      </c>
      <c r="D280" s="11" t="str">
        <f t="shared" si="12"/>
        <v/>
      </c>
      <c r="E280" s="11" t="str">
        <f t="shared" si="13"/>
        <v/>
      </c>
      <c r="F280" s="76"/>
    </row>
    <row r="283" spans="1:8" ht="43.5" customHeight="1" x14ac:dyDescent="0.25">
      <c r="A283" s="83" t="s">
        <v>10</v>
      </c>
      <c r="B283" s="84"/>
      <c r="C283" s="85" t="s">
        <v>64</v>
      </c>
      <c r="D283" s="86"/>
      <c r="E283" s="86"/>
      <c r="F283" s="87"/>
      <c r="G283" s="28"/>
      <c r="H283" s="15"/>
    </row>
  </sheetData>
  <sheetProtection algorithmName="SHA-512" hashValue="nnooS+wxcb1/iwKw/GDyYfLqwAbK4cC21I+jpuFCVRMaH6Q1l9drH9tYVSFaVCDHCy5rekAokV2mosmPDRqU5g==" saltValue="OHZgN/6XSZatw77tCo8BNw==" spinCount="100000" sheet="1" objects="1" scenarios="1"/>
  <mergeCells count="38">
    <mergeCell ref="F5:H5"/>
    <mergeCell ref="A2:E2"/>
    <mergeCell ref="A4:B4"/>
    <mergeCell ref="C4:D4"/>
    <mergeCell ref="A5:B5"/>
    <mergeCell ref="C5:D5"/>
    <mergeCell ref="F27:G27"/>
    <mergeCell ref="A6:B6"/>
    <mergeCell ref="C6:D6"/>
    <mergeCell ref="B8:C8"/>
    <mergeCell ref="E8:F8"/>
    <mergeCell ref="B10:H10"/>
    <mergeCell ref="A12:H12"/>
    <mergeCell ref="A16:H16"/>
    <mergeCell ref="A22:H22"/>
    <mergeCell ref="A23:H23"/>
    <mergeCell ref="A25:H25"/>
    <mergeCell ref="F26:G26"/>
    <mergeCell ref="G43:H43"/>
    <mergeCell ref="A29:H29"/>
    <mergeCell ref="G31:H31"/>
    <mergeCell ref="G32:H32"/>
    <mergeCell ref="G33:H33"/>
    <mergeCell ref="G35:H35"/>
    <mergeCell ref="G36:H36"/>
    <mergeCell ref="G38:H38"/>
    <mergeCell ref="G39:H39"/>
    <mergeCell ref="G40:H40"/>
    <mergeCell ref="G41:H41"/>
    <mergeCell ref="G42:H42"/>
    <mergeCell ref="G45:H45"/>
    <mergeCell ref="G46:H46"/>
    <mergeCell ref="G47:H47"/>
    <mergeCell ref="G48:H48"/>
    <mergeCell ref="A283:B283"/>
    <mergeCell ref="C283:F283"/>
    <mergeCell ref="G60:H60"/>
    <mergeCell ref="G58:H59"/>
  </mergeCells>
  <dataValidations count="1">
    <dataValidation allowBlank="1" showDropDown="1" showInputMessage="1" showErrorMessage="1" sqref="A15" xr:uid="{DBE4F6A9-61DD-44FA-AE58-6FE25BB275A3}"/>
  </dataValidations>
  <pageMargins left="0.7" right="0.7" top="0.75" bottom="0.75" header="0.3" footer="0.3"/>
  <pageSetup paperSize="9" scale="6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locked="0" defaultSize="0" autoFill="0" autoLine="0" autoPict="0">
                <anchor moveWithCells="1">
                  <from>
                    <xdr:col>6</xdr:col>
                    <xdr:colOff>19050</xdr:colOff>
                    <xdr:row>38</xdr:row>
                    <xdr:rowOff>0</xdr:rowOff>
                  </from>
                  <to>
                    <xdr:col>6</xdr:col>
                    <xdr:colOff>238125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locked="0" defaultSize="0" autoFill="0" autoLine="0" autoPict="0">
                <anchor moveWithCells="1">
                  <from>
                    <xdr:col>6</xdr:col>
                    <xdr:colOff>19050</xdr:colOff>
                    <xdr:row>45</xdr:row>
                    <xdr:rowOff>0</xdr:rowOff>
                  </from>
                  <to>
                    <xdr:col>6</xdr:col>
                    <xdr:colOff>266700</xdr:colOff>
                    <xdr:row>46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6318F821-586E-4140-818E-2C7B73B8D0C0}">
          <x14:formula1>
            <xm:f>Definitions!$O$2:$O$3</xm:f>
          </x14:formula1>
          <xm:sqref>H18</xm:sqref>
        </x14:dataValidation>
        <x14:dataValidation type="list" allowBlank="1" showInputMessage="1" showErrorMessage="1" xr:uid="{99DEC8DE-D228-41AF-AE02-9EC67B876643}">
          <x14:formula1>
            <xm:f>Definitions!$M$2:$M$3</xm:f>
          </x14:formula1>
          <xm:sqref>G18</xm:sqref>
        </x14:dataValidation>
        <x14:dataValidation type="list" allowBlank="1" showInputMessage="1" showErrorMessage="1" xr:uid="{268E17DA-63B1-41D5-98C4-FF06C0CC2AA3}">
          <x14:formula1>
            <xm:f>Definitions!$K$2:$K$3</xm:f>
          </x14:formula1>
          <xm:sqref>H14</xm:sqref>
        </x14:dataValidation>
        <x14:dataValidation type="list" allowBlank="1" showInputMessage="1" showErrorMessage="1" xr:uid="{245AB84E-340A-43DB-BF82-ED6FECD6AA33}">
          <x14:formula1>
            <xm:f>Definitions!$Q$2:$Q$3</xm:f>
          </x14:formula1>
          <xm:sqref>A27</xm:sqref>
        </x14:dataValidation>
        <x14:dataValidation type="list" allowBlank="1" showInputMessage="1" showErrorMessage="1" xr:uid="{B3B724C0-39DE-4115-9F36-7C8162FA631B}">
          <x14:formula1>
            <xm:f>Definitions!$U$2:$U$6</xm:f>
          </x14:formula1>
          <xm:sqref>H27</xm:sqref>
        </x14:dataValidation>
        <x14:dataValidation type="list" allowBlank="1" showInputMessage="1" showErrorMessage="1" xr:uid="{515739C7-7CB8-4EA1-9153-CA667BAABA19}">
          <x14:formula1>
            <xm:f>Definitions!$AA$2:$AA$3</xm:f>
          </x14:formula1>
          <xm:sqref>B27</xm:sqref>
        </x14:dataValidation>
        <x14:dataValidation type="list" allowBlank="1" showInputMessage="1" showErrorMessage="1" xr:uid="{01C51F86-8972-4059-8DF3-15AC20D08977}">
          <x14:formula1>
            <xm:f>Definitions!$AC$2:$AC$3</xm:f>
          </x14:formula1>
          <xm:sqref>D27</xm:sqref>
        </x14:dataValidation>
        <x14:dataValidation type="list" allowBlank="1" showInputMessage="1" showErrorMessage="1" xr:uid="{F89E85E6-2254-4DE2-AEA6-1BB62DE63195}">
          <x14:formula1>
            <xm:f>Definitions!$S$2:$S$7</xm:f>
          </x14:formula1>
          <xm:sqref>F27:G27</xm:sqref>
        </x14:dataValidation>
        <x14:dataValidation type="list" allowBlank="1" showInputMessage="1" showErrorMessage="1" xr:uid="{CE32020F-763C-4A9C-BEB4-B061C93C1C85}">
          <x14:formula1>
            <xm:f>Definitions!$C$2:$C$16</xm:f>
          </x14:formula1>
          <xm:sqref>A14</xm:sqref>
        </x14:dataValidation>
        <x14:dataValidation type="list" allowBlank="1" showInputMessage="1" showErrorMessage="1" xr:uid="{0105ED38-2DC7-47A6-AD70-27EE07D52D1B}">
          <x14:formula1>
            <xm:f>Definitions!$A$2:$A$10</xm:f>
          </x14:formula1>
          <xm:sqref>E8:F8 B8:C8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2066-159D-45E2-903D-FAB3E103C43F}">
  <sheetPr codeName="Tabelle2"/>
  <dimension ref="A1:AC36"/>
  <sheetViews>
    <sheetView workbookViewId="0">
      <selection activeCell="D25" sqref="D25"/>
    </sheetView>
  </sheetViews>
  <sheetFormatPr baseColWidth="10" defaultColWidth="11.42578125" defaultRowHeight="15.75" x14ac:dyDescent="0.25"/>
  <cols>
    <col min="1" max="1" width="11.42578125" style="15"/>
    <col min="2" max="2" width="5" style="15" customWidth="1"/>
    <col min="3" max="3" width="24.140625" style="15" bestFit="1" customWidth="1"/>
    <col min="4" max="4" width="16.42578125" style="15" bestFit="1" customWidth="1"/>
    <col min="5" max="5" width="11" style="15" bestFit="1" customWidth="1"/>
    <col min="6" max="6" width="13.7109375" style="15" bestFit="1" customWidth="1"/>
    <col min="7" max="7" width="11.42578125" style="15"/>
    <col min="8" max="8" width="13" style="15" bestFit="1" customWidth="1"/>
    <col min="9" max="9" width="13" style="15" customWidth="1"/>
    <col min="10" max="10" width="3.5703125" style="15" customWidth="1"/>
    <col min="11" max="11" width="11.42578125" style="15"/>
    <col min="12" max="12" width="2.85546875" style="15" customWidth="1"/>
    <col min="13" max="13" width="11.42578125" style="15"/>
    <col min="14" max="14" width="3.140625" style="15" customWidth="1"/>
    <col min="15" max="15" width="11.42578125" style="15"/>
    <col min="16" max="16" width="3.5703125" style="15" customWidth="1"/>
    <col min="17" max="18" width="11.42578125" style="15"/>
    <col min="19" max="19" width="35.5703125" style="15" bestFit="1" customWidth="1"/>
    <col min="20" max="20" width="5.85546875" style="15" customWidth="1"/>
    <col min="21" max="21" width="20.28515625" style="15" bestFit="1" customWidth="1"/>
    <col min="22" max="22" width="4.5703125" style="15" customWidth="1"/>
    <col min="23" max="23" width="11.7109375" style="15" bestFit="1" customWidth="1"/>
    <col min="24" max="24" width="4.5703125" style="15" customWidth="1"/>
    <col min="25" max="25" width="11.42578125" style="15"/>
    <col min="26" max="26" width="2.7109375" style="15" customWidth="1"/>
    <col min="27" max="27" width="11.42578125" style="15"/>
    <col min="28" max="28" width="3.28515625" style="15" customWidth="1"/>
    <col min="29" max="29" width="14.28515625" style="15" bestFit="1" customWidth="1"/>
    <col min="30" max="16384" width="11.42578125" style="15"/>
  </cols>
  <sheetData>
    <row r="1" spans="1:29" s="14" customFormat="1" x14ac:dyDescent="0.25">
      <c r="A1" s="14" t="s">
        <v>65</v>
      </c>
      <c r="C1" s="14" t="s">
        <v>13</v>
      </c>
      <c r="D1" s="14" t="s">
        <v>66</v>
      </c>
      <c r="E1" s="14" t="s">
        <v>67</v>
      </c>
      <c r="F1" s="14" t="s">
        <v>68</v>
      </c>
      <c r="G1" s="14" t="s">
        <v>69</v>
      </c>
      <c r="H1" s="14" t="s">
        <v>70</v>
      </c>
      <c r="I1" s="74" t="s">
        <v>15</v>
      </c>
      <c r="K1" s="14" t="s">
        <v>71</v>
      </c>
      <c r="M1" s="14" t="s">
        <v>28</v>
      </c>
      <c r="O1" s="14" t="s">
        <v>29</v>
      </c>
      <c r="Q1" s="14" t="s">
        <v>72</v>
      </c>
      <c r="S1" s="14" t="s">
        <v>73</v>
      </c>
      <c r="U1" s="14" t="s">
        <v>74</v>
      </c>
      <c r="W1" s="14" t="s">
        <v>75</v>
      </c>
      <c r="Y1" s="14" t="s">
        <v>76</v>
      </c>
      <c r="AA1" s="14" t="s">
        <v>38</v>
      </c>
      <c r="AC1" s="14" t="s">
        <v>77</v>
      </c>
    </row>
    <row r="2" spans="1:29" x14ac:dyDescent="0.25">
      <c r="A2" s="15" t="s">
        <v>84</v>
      </c>
      <c r="C2" s="16" t="s">
        <v>78</v>
      </c>
      <c r="D2" s="16" t="s">
        <v>79</v>
      </c>
      <c r="E2" s="16">
        <v>10.4</v>
      </c>
      <c r="F2" s="16">
        <v>125</v>
      </c>
      <c r="G2" s="16" t="s">
        <v>80</v>
      </c>
      <c r="H2" s="16" t="s">
        <v>81</v>
      </c>
      <c r="I2" s="16" t="s">
        <v>82</v>
      </c>
      <c r="J2" s="13"/>
      <c r="K2" s="13" t="s">
        <v>21</v>
      </c>
      <c r="L2" s="13"/>
      <c r="M2" s="13" t="s">
        <v>32</v>
      </c>
      <c r="N2" s="13"/>
      <c r="O2" s="13" t="s">
        <v>32</v>
      </c>
      <c r="Q2" s="15" t="s">
        <v>44</v>
      </c>
      <c r="S2" s="15" t="s">
        <v>83</v>
      </c>
      <c r="U2" s="15" t="s">
        <v>47</v>
      </c>
      <c r="W2" s="15" t="b">
        <v>1</v>
      </c>
      <c r="Y2" s="15" t="b">
        <v>1</v>
      </c>
      <c r="AA2" s="15" t="s">
        <v>45</v>
      </c>
      <c r="AC2" s="13" t="s">
        <v>32</v>
      </c>
    </row>
    <row r="3" spans="1:29" x14ac:dyDescent="0.25">
      <c r="A3" s="15" t="s">
        <v>131</v>
      </c>
      <c r="C3" s="16" t="s">
        <v>85</v>
      </c>
      <c r="D3" s="16" t="s">
        <v>79</v>
      </c>
      <c r="E3" s="16">
        <v>10.4</v>
      </c>
      <c r="F3" s="13">
        <v>125</v>
      </c>
      <c r="G3" s="16" t="s">
        <v>80</v>
      </c>
      <c r="H3" s="16" t="s">
        <v>81</v>
      </c>
      <c r="I3" s="16" t="s">
        <v>82</v>
      </c>
      <c r="J3" s="13"/>
      <c r="K3" s="13" t="s">
        <v>86</v>
      </c>
      <c r="L3" s="13"/>
      <c r="M3" s="13" t="s">
        <v>87</v>
      </c>
      <c r="N3" s="13"/>
      <c r="O3" s="13" t="s">
        <v>87</v>
      </c>
      <c r="Q3" s="15" t="s">
        <v>88</v>
      </c>
      <c r="S3" s="15" t="s">
        <v>87</v>
      </c>
      <c r="U3" s="15" t="s">
        <v>89</v>
      </c>
      <c r="AA3" s="15" t="s">
        <v>90</v>
      </c>
      <c r="AC3" s="13" t="s">
        <v>87</v>
      </c>
    </row>
    <row r="4" spans="1:29" x14ac:dyDescent="0.25">
      <c r="A4" s="15" t="s">
        <v>91</v>
      </c>
      <c r="C4" s="16" t="s">
        <v>92</v>
      </c>
      <c r="D4" s="16" t="s">
        <v>79</v>
      </c>
      <c r="E4" s="16" t="s">
        <v>93</v>
      </c>
      <c r="F4" s="16" t="s">
        <v>94</v>
      </c>
      <c r="G4" s="16" t="s">
        <v>95</v>
      </c>
      <c r="H4" s="16" t="s">
        <v>96</v>
      </c>
      <c r="I4" s="16" t="s">
        <v>31</v>
      </c>
      <c r="J4" s="13"/>
      <c r="K4" s="13"/>
      <c r="L4" s="13"/>
      <c r="M4" s="13"/>
      <c r="N4" s="13"/>
      <c r="O4" s="13"/>
      <c r="S4" s="15" t="s">
        <v>97</v>
      </c>
      <c r="U4" s="15" t="s">
        <v>98</v>
      </c>
    </row>
    <row r="5" spans="1:29" x14ac:dyDescent="0.25">
      <c r="A5" s="15" t="s">
        <v>99</v>
      </c>
      <c r="C5" s="16" t="s">
        <v>100</v>
      </c>
      <c r="D5" s="16" t="s">
        <v>101</v>
      </c>
      <c r="E5" s="16" t="s">
        <v>102</v>
      </c>
      <c r="F5" s="16" t="s">
        <v>103</v>
      </c>
      <c r="G5" s="16" t="s">
        <v>95</v>
      </c>
      <c r="H5" s="16" t="s">
        <v>104</v>
      </c>
      <c r="I5" s="16" t="s">
        <v>31</v>
      </c>
      <c r="J5" s="13"/>
      <c r="K5" s="13"/>
      <c r="L5" s="13"/>
      <c r="M5" s="13"/>
      <c r="N5" s="13"/>
      <c r="O5" s="13"/>
      <c r="S5" s="15" t="s">
        <v>105</v>
      </c>
      <c r="U5" s="15" t="s">
        <v>87</v>
      </c>
    </row>
    <row r="6" spans="1:29" x14ac:dyDescent="0.25">
      <c r="A6" s="15" t="s">
        <v>106</v>
      </c>
      <c r="C6" s="16" t="s">
        <v>20</v>
      </c>
      <c r="D6" s="16" t="s">
        <v>107</v>
      </c>
      <c r="E6" s="16" t="s">
        <v>108</v>
      </c>
      <c r="F6" s="16" t="s">
        <v>94</v>
      </c>
      <c r="G6" s="16" t="s">
        <v>95</v>
      </c>
      <c r="H6" s="16" t="s">
        <v>104</v>
      </c>
      <c r="I6" s="16" t="s">
        <v>31</v>
      </c>
      <c r="J6" s="13"/>
      <c r="K6" s="13"/>
      <c r="L6" s="13"/>
      <c r="M6" s="13"/>
      <c r="N6" s="13"/>
      <c r="O6" s="13"/>
      <c r="S6" s="15" t="s">
        <v>109</v>
      </c>
      <c r="U6" s="15" t="s">
        <v>110</v>
      </c>
    </row>
    <row r="7" spans="1:29" x14ac:dyDescent="0.25">
      <c r="A7" s="15" t="s">
        <v>111</v>
      </c>
      <c r="C7" s="16" t="s">
        <v>112</v>
      </c>
      <c r="D7" s="16" t="s">
        <v>101</v>
      </c>
      <c r="E7" s="16" t="s">
        <v>113</v>
      </c>
      <c r="F7" s="16" t="s">
        <v>94</v>
      </c>
      <c r="G7" s="16" t="s">
        <v>80</v>
      </c>
      <c r="H7" s="16" t="s">
        <v>104</v>
      </c>
      <c r="I7" s="16" t="s">
        <v>31</v>
      </c>
      <c r="J7" s="13"/>
      <c r="K7" s="13"/>
      <c r="L7" s="13"/>
      <c r="M7" s="13"/>
      <c r="N7" s="13"/>
      <c r="O7" s="13"/>
      <c r="S7" s="15" t="s">
        <v>110</v>
      </c>
    </row>
    <row r="8" spans="1:29" x14ac:dyDescent="0.25">
      <c r="A8" s="15" t="s">
        <v>114</v>
      </c>
      <c r="C8" s="64" t="s">
        <v>115</v>
      </c>
      <c r="D8" s="64" t="s">
        <v>101</v>
      </c>
      <c r="E8" s="64" t="s">
        <v>113</v>
      </c>
      <c r="F8" s="64" t="s">
        <v>94</v>
      </c>
      <c r="G8" s="64" t="s">
        <v>95</v>
      </c>
      <c r="H8" s="64" t="s">
        <v>104</v>
      </c>
      <c r="I8" s="64" t="s">
        <v>31</v>
      </c>
      <c r="J8" s="13"/>
      <c r="K8" s="13"/>
      <c r="L8" s="13"/>
      <c r="M8" s="13"/>
      <c r="N8" s="13"/>
      <c r="O8" s="13"/>
    </row>
    <row r="9" spans="1:29" x14ac:dyDescent="0.25">
      <c r="A9" s="15" t="s">
        <v>116</v>
      </c>
      <c r="C9" s="16" t="s">
        <v>117</v>
      </c>
      <c r="D9" s="64" t="s">
        <v>101</v>
      </c>
      <c r="E9" s="13" t="s">
        <v>118</v>
      </c>
      <c r="F9" s="13">
        <v>125</v>
      </c>
      <c r="G9" s="64" t="s">
        <v>95</v>
      </c>
      <c r="H9" s="64" t="s">
        <v>104</v>
      </c>
      <c r="I9" s="64" t="s">
        <v>31</v>
      </c>
      <c r="J9" s="13"/>
      <c r="K9" s="13"/>
      <c r="L9" s="13"/>
      <c r="M9" s="13"/>
      <c r="N9" s="13"/>
      <c r="O9" s="13"/>
    </row>
    <row r="10" spans="1:29" x14ac:dyDescent="0.25">
      <c r="A10" s="15" t="s">
        <v>132</v>
      </c>
      <c r="C10" s="16" t="s">
        <v>119</v>
      </c>
      <c r="D10" s="16" t="s">
        <v>120</v>
      </c>
      <c r="E10" s="16" t="s">
        <v>121</v>
      </c>
      <c r="F10" s="16" t="s">
        <v>94</v>
      </c>
      <c r="G10" s="16" t="s">
        <v>95</v>
      </c>
      <c r="H10" s="16" t="s">
        <v>122</v>
      </c>
      <c r="I10" s="16" t="s">
        <v>31</v>
      </c>
      <c r="J10" s="13"/>
      <c r="K10" s="13"/>
      <c r="L10" s="13"/>
      <c r="M10" s="13"/>
      <c r="N10" s="13"/>
      <c r="O10" s="13"/>
    </row>
    <row r="11" spans="1:29" x14ac:dyDescent="0.25">
      <c r="C11" s="16" t="s">
        <v>123</v>
      </c>
      <c r="D11" s="16" t="s">
        <v>101</v>
      </c>
      <c r="E11" s="16" t="s">
        <v>124</v>
      </c>
      <c r="F11" s="16" t="s">
        <v>94</v>
      </c>
      <c r="G11" s="16" t="s">
        <v>80</v>
      </c>
      <c r="H11" s="16" t="s">
        <v>125</v>
      </c>
      <c r="I11" s="16" t="s">
        <v>31</v>
      </c>
      <c r="J11" s="13"/>
      <c r="K11" s="13"/>
      <c r="L11" s="13"/>
      <c r="M11" s="13"/>
      <c r="N11" s="13"/>
      <c r="O11" s="13"/>
    </row>
    <row r="12" spans="1:29" x14ac:dyDescent="0.25">
      <c r="C12" s="16" t="s">
        <v>126</v>
      </c>
      <c r="D12" s="16" t="s">
        <v>79</v>
      </c>
      <c r="E12" s="16" t="s">
        <v>31</v>
      </c>
      <c r="F12" s="16" t="s">
        <v>94</v>
      </c>
      <c r="G12" s="16" t="s">
        <v>126</v>
      </c>
      <c r="H12" s="16" t="s">
        <v>96</v>
      </c>
      <c r="I12" s="16" t="s">
        <v>31</v>
      </c>
      <c r="J12" s="13"/>
      <c r="K12" s="13"/>
      <c r="L12" s="13"/>
      <c r="M12" s="13"/>
      <c r="N12" s="13"/>
      <c r="O12" s="13"/>
    </row>
    <row r="13" spans="1:29" x14ac:dyDescent="0.25">
      <c r="C13" s="16" t="s">
        <v>127</v>
      </c>
      <c r="D13" s="16" t="s">
        <v>79</v>
      </c>
      <c r="E13" s="16" t="s">
        <v>31</v>
      </c>
      <c r="F13" s="16" t="s">
        <v>31</v>
      </c>
      <c r="G13" s="16" t="s">
        <v>80</v>
      </c>
      <c r="H13" s="16" t="s">
        <v>31</v>
      </c>
      <c r="I13" s="16" t="s">
        <v>31</v>
      </c>
      <c r="J13" s="13"/>
      <c r="K13" s="13"/>
      <c r="L13" s="13"/>
      <c r="M13" s="13"/>
      <c r="N13" s="13"/>
      <c r="O13" s="13"/>
    </row>
    <row r="14" spans="1:29" x14ac:dyDescent="0.25">
      <c r="C14" s="16" t="s">
        <v>128</v>
      </c>
      <c r="D14" s="16" t="s">
        <v>79</v>
      </c>
      <c r="E14" s="16" t="s">
        <v>31</v>
      </c>
      <c r="F14" s="16" t="s">
        <v>31</v>
      </c>
      <c r="G14" s="64" t="s">
        <v>95</v>
      </c>
      <c r="H14" s="16" t="s">
        <v>31</v>
      </c>
      <c r="I14" s="16" t="s">
        <v>31</v>
      </c>
      <c r="J14" s="13"/>
      <c r="K14" s="13"/>
      <c r="L14" s="13"/>
      <c r="M14" s="13"/>
      <c r="N14" s="13"/>
      <c r="O14" s="13"/>
    </row>
    <row r="15" spans="1:29" x14ac:dyDescent="0.25">
      <c r="C15" s="16" t="s">
        <v>129</v>
      </c>
      <c r="D15" s="16" t="s">
        <v>101</v>
      </c>
      <c r="E15" s="16" t="s">
        <v>31</v>
      </c>
      <c r="F15" s="16" t="s">
        <v>31</v>
      </c>
      <c r="G15" s="64" t="s">
        <v>95</v>
      </c>
      <c r="H15" s="16" t="s">
        <v>31</v>
      </c>
      <c r="I15" s="16" t="s">
        <v>31</v>
      </c>
      <c r="J15" s="13"/>
      <c r="K15" s="13"/>
      <c r="L15" s="13"/>
      <c r="M15" s="13"/>
      <c r="N15" s="13"/>
      <c r="O15" s="13"/>
    </row>
    <row r="16" spans="1:29" x14ac:dyDescent="0.25">
      <c r="C16" s="16" t="s">
        <v>110</v>
      </c>
      <c r="D16" s="16" t="s">
        <v>31</v>
      </c>
      <c r="E16" s="16" t="s">
        <v>31</v>
      </c>
      <c r="F16" s="16" t="s">
        <v>31</v>
      </c>
      <c r="G16" s="16" t="s">
        <v>31</v>
      </c>
      <c r="H16" s="16" t="s">
        <v>31</v>
      </c>
      <c r="I16" s="16" t="s">
        <v>31</v>
      </c>
    </row>
    <row r="17" spans="3:9" x14ac:dyDescent="0.25">
      <c r="C17" s="16"/>
      <c r="D17" s="17"/>
      <c r="E17" s="17"/>
      <c r="F17" s="17"/>
      <c r="G17" s="17"/>
      <c r="H17" s="17"/>
      <c r="I17" s="17"/>
    </row>
    <row r="18" spans="3:9" x14ac:dyDescent="0.25">
      <c r="C18" s="16"/>
      <c r="D18" s="17"/>
      <c r="E18" s="17"/>
      <c r="F18" s="17"/>
      <c r="G18" s="17"/>
      <c r="H18" s="17"/>
      <c r="I18" s="17"/>
    </row>
    <row r="19" spans="3:9" x14ac:dyDescent="0.25">
      <c r="C19" s="17"/>
      <c r="D19" s="17"/>
      <c r="E19" s="17"/>
      <c r="F19" s="17"/>
      <c r="G19" s="17"/>
      <c r="H19" s="17"/>
      <c r="I19" s="17"/>
    </row>
    <row r="20" spans="3:9" x14ac:dyDescent="0.25">
      <c r="C20" s="17"/>
      <c r="D20" s="17"/>
      <c r="E20" s="17"/>
      <c r="F20" s="17"/>
      <c r="G20" s="17"/>
      <c r="H20" s="17"/>
      <c r="I20" s="17"/>
    </row>
    <row r="21" spans="3:9" x14ac:dyDescent="0.25">
      <c r="C21" s="17"/>
      <c r="D21" s="17"/>
      <c r="E21" s="17"/>
      <c r="F21" s="17"/>
      <c r="G21" s="17"/>
      <c r="H21" s="17"/>
      <c r="I21" s="17"/>
    </row>
    <row r="22" spans="3:9" x14ac:dyDescent="0.25">
      <c r="C22" s="17"/>
      <c r="D22" s="17" t="s">
        <v>130</v>
      </c>
      <c r="E22" s="17"/>
      <c r="F22" s="17"/>
      <c r="G22" s="17"/>
      <c r="H22" s="17"/>
      <c r="I22" s="17"/>
    </row>
    <row r="23" spans="3:9" x14ac:dyDescent="0.25">
      <c r="C23" s="17"/>
      <c r="D23" s="17"/>
      <c r="E23" s="17"/>
      <c r="F23" s="17"/>
      <c r="G23" s="17"/>
      <c r="H23" s="17" t="s">
        <v>130</v>
      </c>
      <c r="I23" s="17"/>
    </row>
    <row r="24" spans="3:9" x14ac:dyDescent="0.25">
      <c r="C24" s="17"/>
      <c r="D24" s="17"/>
      <c r="E24" s="17"/>
      <c r="F24" s="17"/>
      <c r="G24" s="17"/>
      <c r="H24" s="17"/>
      <c r="I24" s="17"/>
    </row>
    <row r="25" spans="3:9" x14ac:dyDescent="0.25">
      <c r="C25" s="17"/>
      <c r="D25" s="17"/>
      <c r="E25" s="17"/>
      <c r="F25" s="17"/>
      <c r="G25" s="17"/>
      <c r="H25" s="17"/>
      <c r="I25" s="17"/>
    </row>
    <row r="26" spans="3:9" x14ac:dyDescent="0.25">
      <c r="C26" s="17"/>
      <c r="D26" s="17"/>
      <c r="E26" s="17"/>
      <c r="F26" s="17"/>
      <c r="G26" s="17"/>
      <c r="H26" s="17"/>
      <c r="I26" s="17"/>
    </row>
    <row r="27" spans="3:9" x14ac:dyDescent="0.25">
      <c r="C27" s="17"/>
      <c r="D27" s="17"/>
      <c r="E27" s="17"/>
      <c r="F27" s="17"/>
      <c r="G27" s="17"/>
      <c r="H27" s="17"/>
      <c r="I27" s="17"/>
    </row>
    <row r="28" spans="3:9" x14ac:dyDescent="0.25">
      <c r="C28" s="17"/>
      <c r="D28" s="17"/>
      <c r="E28" s="17"/>
      <c r="F28" s="17"/>
      <c r="G28" s="17"/>
      <c r="H28" s="17"/>
      <c r="I28" s="17"/>
    </row>
    <row r="29" spans="3:9" x14ac:dyDescent="0.25">
      <c r="C29" s="17"/>
      <c r="D29" s="17"/>
      <c r="E29" s="17"/>
      <c r="F29" s="17"/>
      <c r="G29" s="17"/>
      <c r="H29" s="17"/>
      <c r="I29" s="17"/>
    </row>
    <row r="30" spans="3:9" x14ac:dyDescent="0.25">
      <c r="C30" s="17"/>
      <c r="D30" s="17"/>
      <c r="E30" s="17"/>
      <c r="F30" s="17"/>
      <c r="G30" s="17"/>
      <c r="H30" s="17"/>
      <c r="I30" s="17"/>
    </row>
    <row r="31" spans="3:9" x14ac:dyDescent="0.25">
      <c r="C31" s="17"/>
      <c r="D31" s="17"/>
      <c r="E31" s="17"/>
      <c r="F31" s="17"/>
      <c r="G31" s="17"/>
      <c r="H31" s="17"/>
      <c r="I31" s="17"/>
    </row>
    <row r="32" spans="3:9" x14ac:dyDescent="0.25">
      <c r="C32" s="17"/>
      <c r="D32" s="17"/>
      <c r="E32" s="17"/>
      <c r="F32" s="17"/>
      <c r="G32" s="17"/>
      <c r="H32" s="17"/>
      <c r="I32" s="17"/>
    </row>
    <row r="33" spans="3:9" x14ac:dyDescent="0.25">
      <c r="C33" s="17"/>
      <c r="D33" s="17"/>
      <c r="E33" s="17"/>
      <c r="F33" s="17"/>
      <c r="G33" s="17"/>
      <c r="H33" s="17"/>
      <c r="I33" s="17"/>
    </row>
    <row r="34" spans="3:9" x14ac:dyDescent="0.25">
      <c r="C34" s="17"/>
      <c r="D34" s="17"/>
      <c r="E34" s="17"/>
      <c r="F34" s="17"/>
      <c r="G34" s="17"/>
      <c r="H34" s="17"/>
      <c r="I34" s="17"/>
    </row>
    <row r="35" spans="3:9" x14ac:dyDescent="0.25">
      <c r="C35" s="17"/>
    </row>
    <row r="36" spans="3:9" x14ac:dyDescent="0.25">
      <c r="C36" s="17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b25a77-1a5a-459a-af69-63fbe94a752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927F95484E9488072C5135C936E1D" ma:contentTypeVersion="10" ma:contentTypeDescription="Create a new document." ma:contentTypeScope="" ma:versionID="6dec41797a4877caedee105a198bd0dc">
  <xsd:schema xmlns:xsd="http://www.w3.org/2001/XMLSchema" xmlns:xs="http://www.w3.org/2001/XMLSchema" xmlns:p="http://schemas.microsoft.com/office/2006/metadata/properties" xmlns:ns2="d0b25a77-1a5a-459a-af69-63fbe94a7524" targetNamespace="http://schemas.microsoft.com/office/2006/metadata/properties" ma:root="true" ma:fieldsID="7c239f5e11502f87671e5a5265a14118" ns2:_="">
    <xsd:import namespace="d0b25a77-1a5a-459a-af69-63fbe94a75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25a77-1a5a-459a-af69-63fbe94a75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9d0624-a164-4ee2-857e-ad329fbb81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CC134A-2735-4752-BA4C-A6F72C9520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CB7D32-657C-4936-A2CC-E04FF0EF6048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0b25a77-1a5a-459a-af69-63fbe94a752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3F63480-8F11-4EF2-B13A-DE191B1D5B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b25a77-1a5a-459a-af69-63fbe94a75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Fiber Specification</vt:lpstr>
      <vt:lpstr>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Pohlkötter</dc:creator>
  <cp:keywords/>
  <dc:description/>
  <cp:lastModifiedBy>Dr. Margarethe Kampling</cp:lastModifiedBy>
  <cp:revision/>
  <dcterms:created xsi:type="dcterms:W3CDTF">2015-06-05T18:19:34Z</dcterms:created>
  <dcterms:modified xsi:type="dcterms:W3CDTF">2026-03-05T16:36:31Z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0x010100F45927F95484E9488072C5135C936E1D</vt:lpwstr>
  </property>
  <property fmtid="{D5CDD505-2E9C-101B-9397-08002B2CF9AE}" pid="3" name="MediaServiceImageTags">
    <vt:lpwstr/>
  </property>
</Properties>
</file>